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Calculated vs Shown" sheetId="1" r:id="rId1"/>
    <sheet name="Group KPIs" sheetId="2" r:id="rId2"/>
    <sheet name="Group Inputs" sheetId="3" r:id="rId3"/>
    <sheet name="Entity Inputs" sheetId="4" r:id="rId4"/>
    <sheet name="Plant Inputs" sheetId="5" r:id="rId5"/>
    <sheet name="Parameters" sheetId="6" r:id="rId6"/>
    <sheet name="About" sheetId="7" r:id="rId7"/>
  </sheets>
  <definedNames>
    <definedName name="_xlnm._FilterDatabase" localSheetId="0" hidden="1">'Calculated vs Shown'!$A$1:$I$150</definedName>
    <definedName name="_xlnm._FilterDatabase" localSheetId="3" hidden="1">'Entity Inputs'!$A$3:$FU$15</definedName>
    <definedName name="_xlnm._FilterDatabase" localSheetId="1" hidden="1">'Group KPIs'!$A$1:$N$150</definedName>
    <definedName name="_xlnm._FilterDatabase" localSheetId="4" hidden="1">'Plant Inputs'!$A$3:$BY$39</definedName>
  </definedNames>
  <calcPr calcId="124519" fullCalcOnLoad="1"/>
</workbook>
</file>

<file path=xl/sharedStrings.xml><?xml version="1.0" encoding="utf-8"?>
<sst xmlns="http://schemas.openxmlformats.org/spreadsheetml/2006/main" count="3924" uniqueCount="1228">
  <si>
    <t>Name</t>
  </si>
  <si>
    <t>Value</t>
  </si>
  <si>
    <t>Meaning</t>
  </si>
  <si>
    <t>TaxRate</t>
  </si>
  <si>
    <t>Tax rate used for after-tax return</t>
  </si>
  <si>
    <t>WACC</t>
  </si>
  <si>
    <t>Cost of capital, per year</t>
  </si>
  <si>
    <t>CovenantMax</t>
  </si>
  <si>
    <t>Covenant limit: net debt ÷ EBITDA (times)</t>
  </si>
  <si>
    <t>OpeningNWC_A1</t>
  </si>
  <si>
    <t>Net working capital at 31 Mar 2026, Entity A1 (₹ thousand)</t>
  </si>
  <si>
    <t>OpeningNWC_A2</t>
  </si>
  <si>
    <t>Net working capital at 31 Mar 2026, Entity A2 (₹ thousand)</t>
  </si>
  <si>
    <t>OpeningNWC</t>
  </si>
  <si>
    <t>Net working capital at 31 Mar 2026, Group (₹ thousand)</t>
  </si>
  <si>
    <t>Group</t>
  </si>
  <si>
    <t>group</t>
  </si>
  <si>
    <t>Entity</t>
  </si>
  <si>
    <t>entity</t>
  </si>
  <si>
    <t>Plant</t>
  </si>
  <si>
    <t>plant</t>
  </si>
  <si>
    <t>Month</t>
  </si>
  <si>
    <t>period</t>
  </si>
  <si>
    <t>Nameplate rate (t/hour)</t>
  </si>
  <si>
    <t>nameplate_tph</t>
  </si>
  <si>
    <t>Input</t>
  </si>
  <si>
    <t>Calendar hours (h)</t>
  </si>
  <si>
    <t>calendar_hours</t>
  </si>
  <si>
    <t>Planned operating hours (h)</t>
  </si>
  <si>
    <t>planned_op_hours</t>
  </si>
  <si>
    <t>Run hours (h)</t>
  </si>
  <si>
    <t>run_hours</t>
  </si>
  <si>
    <t>Unplanned downtime (h)</t>
  </si>
  <si>
    <t>unplanned_downtime_hours</t>
  </si>
  <si>
    <t>Ideal output (t)</t>
  </si>
  <si>
    <t>ideal_output_t</t>
  </si>
  <si>
    <t>Installed capacity (t)</t>
  </si>
  <si>
    <t>installed_capacity_t</t>
  </si>
  <si>
    <t>Planned production (t)</t>
  </si>
  <si>
    <t>planned_production_t</t>
  </si>
  <si>
    <t>Gross output (t)</t>
  </si>
  <si>
    <t>gross_output_t</t>
  </si>
  <si>
    <t>Good output (t)</t>
  </si>
  <si>
    <t>good_output_t</t>
  </si>
  <si>
    <t>Feed input (t)</t>
  </si>
  <si>
    <t>feed_input_t</t>
  </si>
  <si>
    <t>Valuable content in feed (t)</t>
  </si>
  <si>
    <t>feed_contained_t</t>
  </si>
  <si>
    <t>Valuable content recovered (t)</t>
  </si>
  <si>
    <t>recovered_contained_t</t>
  </si>
  <si>
    <t>Production lost to downtime (t)</t>
  </si>
  <si>
    <t>prod_loss_downtime_t</t>
  </si>
  <si>
    <t>Breakdowns (count)</t>
  </si>
  <si>
    <t>failures</t>
  </si>
  <si>
    <t>Repair hours (h)</t>
  </si>
  <si>
    <t>repair_hours</t>
  </si>
  <si>
    <t>Preventive maintenance scheduled (count)</t>
  </si>
  <si>
    <t>pm_scheduled</t>
  </si>
  <si>
    <t>Preventive maintenance completed (count)</t>
  </si>
  <si>
    <t>pm_completed</t>
  </si>
  <si>
    <t>Variable cost (₹ thousand)</t>
  </si>
  <si>
    <t>variable_cost_k</t>
  </si>
  <si>
    <t>Fuel cost (₹ thousand)</t>
  </si>
  <si>
    <t>fuel_cost_k</t>
  </si>
  <si>
    <t>Fixed cost (₹ thousand)</t>
  </si>
  <si>
    <t>fixed_cost_k</t>
  </si>
  <si>
    <t>Water used (m³)</t>
  </si>
  <si>
    <t>water_m3</t>
  </si>
  <si>
    <t>Emissions (t CO2e)</t>
  </si>
  <si>
    <t>emissions_tco2e</t>
  </si>
  <si>
    <t>Energy used (GJ)</t>
  </si>
  <si>
    <t>energy_gj</t>
  </si>
  <si>
    <t>Production at risk (t)</t>
  </si>
  <si>
    <t>production_at_risk_t</t>
  </si>
  <si>
    <t>Critical plant alerts (count)</t>
  </si>
  <si>
    <t>critical_plant_alerts</t>
  </si>
  <si>
    <t>Hours worked (h)</t>
  </si>
  <si>
    <t>hours_worked</t>
  </si>
  <si>
    <t>Recordable injuries (count)</t>
  </si>
  <si>
    <t>recordable_injuries</t>
  </si>
  <si>
    <t>Severity incidents (count)</t>
  </si>
  <si>
    <t>severity_incidents</t>
  </si>
  <si>
    <t>Near misses (count)</t>
  </si>
  <si>
    <t>near_misses</t>
  </si>
  <si>
    <t>Critical safety incidents (count)</t>
  </si>
  <si>
    <t>critical_safety_incidents</t>
  </si>
  <si>
    <t>Environmental excursions (count)</t>
  </si>
  <si>
    <t>env_excursions</t>
  </si>
  <si>
    <t>Environmental violations (count)</t>
  </si>
  <si>
    <t>env_violations</t>
  </si>
  <si>
    <t>Open EHS corrective actions (count)</t>
  </si>
  <si>
    <t>ehs_ca_open</t>
  </si>
  <si>
    <t>Overdue EHS corrective actions (count)</t>
  </si>
  <si>
    <t>ehs_ca_overdue</t>
  </si>
  <si>
    <t>EHS investigations due (count)</t>
  </si>
  <si>
    <t>investigations_due</t>
  </si>
  <si>
    <t>EHS investigations completed (count)</t>
  </si>
  <si>
    <t>investigations_completed</t>
  </si>
  <si>
    <t>Critical materials at risk (count)</t>
  </si>
  <si>
    <t>critical_material_risks</t>
  </si>
  <si>
    <t>Dispatches (count)</t>
  </si>
  <si>
    <t>dispatches_total</t>
  </si>
  <si>
    <t>Delayed dispatches (count)</t>
  </si>
  <si>
    <t>dispatches_delayed</t>
  </si>
  <si>
    <t>Days to permit expiry (days)</t>
  </si>
  <si>
    <t>permit_days_to_expiry</t>
  </si>
  <si>
    <t>Sales volume (t)</t>
  </si>
  <si>
    <t>sales_t</t>
  </si>
  <si>
    <t>Planned sales volume (t)</t>
  </si>
  <si>
    <t>planned_sales_t</t>
  </si>
  <si>
    <t>Revenue (₹ thousand)</t>
  </si>
  <si>
    <t>revenue_k</t>
  </si>
  <si>
    <t>Planned revenue (₹ thousand)</t>
  </si>
  <si>
    <t>planned_revenue_k</t>
  </si>
  <si>
    <t>Power cost, part of variable cost (₹ thousand)</t>
  </si>
  <si>
    <t>power_cost_k</t>
  </si>
  <si>
    <t>Depreciation and amortisation (₹ thousand)</t>
  </si>
  <si>
    <t>depreciation_k</t>
  </si>
  <si>
    <t>Purchase-order lines due (count)</t>
  </si>
  <si>
    <t>po_lines_due</t>
  </si>
  <si>
    <t>Purchase-order lines delivered on time (count)</t>
  </si>
  <si>
    <t>po_lines_on_time</t>
  </si>
  <si>
    <t>Quantity ordered from suppliers (t)</t>
  </si>
  <si>
    <t>qty_ordered_t</t>
  </si>
  <si>
    <t>Quantity received (t)</t>
  </si>
  <si>
    <t>qty_received_t</t>
  </si>
  <si>
    <t>Quantity rejected on quality (t)</t>
  </si>
  <si>
    <t>qty_rejected_t</t>
  </si>
  <si>
    <t>Planned lead time, all deliveries (days)</t>
  </si>
  <si>
    <t>lead_time_planned_days</t>
  </si>
  <si>
    <t>Actual lead time, all deliveries (days)</t>
  </si>
  <si>
    <t>lead_time_actual_days</t>
  </si>
  <si>
    <t>Supplier spend (₹ thousand)</t>
  </si>
  <si>
    <t>supplier_spend_k</t>
  </si>
  <si>
    <t>Spend with single-source suppliers (₹ thousand)</t>
  </si>
  <si>
    <t>single_source_spend_k</t>
  </si>
  <si>
    <t>Supplier EHS incidents (count)</t>
  </si>
  <si>
    <t>supplier_ehs_incidents</t>
  </si>
  <si>
    <t>Regulatory filings pending (count)</t>
  </si>
  <si>
    <t>pending_filings</t>
  </si>
  <si>
    <t>Regulatory deadlines in next 30 days (count)</t>
  </si>
  <si>
    <t>reg_deadlines_30d</t>
  </si>
  <si>
    <t>Licences expiring in next 12 months (count)</t>
  </si>
  <si>
    <t>licences_expiring_12m</t>
  </si>
  <si>
    <t>Regulatory obligations due in next 30 days (count)</t>
  </si>
  <si>
    <t>reg_obligations_due_30d</t>
  </si>
  <si>
    <t>Regulatory obligations overdue (count)</t>
  </si>
  <si>
    <t>reg_obligations_overdue</t>
  </si>
  <si>
    <t>Open regulatory actions (count)</t>
  </si>
  <si>
    <t>reg_actions_open</t>
  </si>
  <si>
    <t>Overdue compliance actions (count)</t>
  </si>
  <si>
    <t>compliance_actions_overdue</t>
  </si>
  <si>
    <t>Regulatory breaches in the month (count)</t>
  </si>
  <si>
    <t>reg_breaches</t>
  </si>
  <si>
    <t>Events that trigger a disclosure clock (count)</t>
  </si>
  <si>
    <t>disclosure_events_open</t>
  </si>
  <si>
    <t>EHS escalation clocks running (count)</t>
  </si>
  <si>
    <t>ehs_escalation_clocks</t>
  </si>
  <si>
    <t>Days until production plan is breached, forecast (days; 99 = not expected)</t>
  </si>
  <si>
    <t>days_to_breach</t>
  </si>
  <si>
    <t>Planned production next month (t)</t>
  </si>
  <si>
    <t>planned_production_next_t</t>
  </si>
  <si>
    <t>Forecast good output next month (t)</t>
  </si>
  <si>
    <t>forecast_good_next_t</t>
  </si>
  <si>
    <t>Forecast uncertainty next month (variance, t²)</t>
  </si>
  <si>
    <t>forecast_good_var_next</t>
  </si>
  <si>
    <t>Ideal output next month (t)</t>
  </si>
  <si>
    <t>ideal_output_next_t</t>
  </si>
  <si>
    <t>Forecast production lost to downtime next month (t)</t>
  </si>
  <si>
    <t>forecast_downtime_loss_next_t</t>
  </si>
  <si>
    <t>Entity A1</t>
  </si>
  <si>
    <t>Plant 01</t>
  </si>
  <si>
    <t>2026-04</t>
  </si>
  <si>
    <t>2026-05</t>
  </si>
  <si>
    <t>2026-06</t>
  </si>
  <si>
    <t>2026-07</t>
  </si>
  <si>
    <t>2026-08</t>
  </si>
  <si>
    <t>2026-09</t>
  </si>
  <si>
    <t>Plant 02</t>
  </si>
  <si>
    <t>Plant 03</t>
  </si>
  <si>
    <t>Entity A2</t>
  </si>
  <si>
    <t>Plant 04</t>
  </si>
  <si>
    <t>Plant 05</t>
  </si>
  <si>
    <t>Plant 06</t>
  </si>
  <si>
    <t>Days in month</t>
  </si>
  <si>
    <t>days</t>
  </si>
  <si>
    <t>Sum of the entity's 3 plants (Plant Inputs sheet)</t>
  </si>
  <si>
    <t>Lowest of the entity's 3 plants (Plant Inputs sheet)</t>
  </si>
  <si>
    <t>Overheads, SG&amp;A (₹ thousand)</t>
  </si>
  <si>
    <t>overhead_k</t>
  </si>
  <si>
    <t>Entity input (only exists at entity level)</t>
  </si>
  <si>
    <t>Tax paid (₹ thousand)</t>
  </si>
  <si>
    <t>tax_paid_k</t>
  </si>
  <si>
    <t>Capital employed, month end (₹ thousand)</t>
  </si>
  <si>
    <t>capital_employed_k</t>
  </si>
  <si>
    <t>Gross debt, month end (₹ thousand)</t>
  </si>
  <si>
    <t>gross_debt_k</t>
  </si>
  <si>
    <t>Cash, month end (₹ thousand)</t>
  </si>
  <si>
    <t>cash_k</t>
  </si>
  <si>
    <t>Undrawn committed facilities (₹ thousand)</t>
  </si>
  <si>
    <t>undrawn_facilities_k</t>
  </si>
  <si>
    <t>Debt service in the month (₹ thousand)</t>
  </si>
  <si>
    <t>debt_service_k</t>
  </si>
  <si>
    <t>Debt maturing in next 12 months (₹ thousand)</t>
  </si>
  <si>
    <t>debt_maturing_12m_k</t>
  </si>
  <si>
    <t>Floating-rate debt (₹ thousand)</t>
  </si>
  <si>
    <t>floating_rate_debt_k</t>
  </si>
  <si>
    <t>EBITDA as reported in the Board pack (₹ thousand)</t>
  </si>
  <si>
    <t>board_ebitda_k</t>
  </si>
  <si>
    <t>Revenue in the flash report (₹ thousand)</t>
  </si>
  <si>
    <t>flash_revenue_k</t>
  </si>
  <si>
    <t>Trade receivables, month end (₹ thousand)</t>
  </si>
  <si>
    <t>receivables_k</t>
  </si>
  <si>
    <t>Trade payables, month end (₹ thousand)</t>
  </si>
  <si>
    <t>payables_k</t>
  </si>
  <si>
    <t>Inventory, month end (₹ thousand)</t>
  </si>
  <si>
    <t>inventory_k</t>
  </si>
  <si>
    <t>Cash collected from customers (₹ thousand)</t>
  </si>
  <si>
    <t>collections_k</t>
  </si>
  <si>
    <t>Cash released by working-capital actions (₹ thousand)</t>
  </si>
  <si>
    <t>cash_released_k</t>
  </si>
  <si>
    <t>Cash due to be upstreamed to Group, next 30 days (₹ thousand)</t>
  </si>
  <si>
    <t>upstream_due_k</t>
  </si>
  <si>
    <t>Of which covered by available cash (₹ thousand)</t>
  </si>
  <si>
    <t>upstream_covered_k</t>
  </si>
  <si>
    <t>Invoices collected (count)</t>
  </si>
  <si>
    <t>invoices_collected</t>
  </si>
  <si>
    <t>Days taken to collect, all invoices (days)</t>
  </si>
  <si>
    <t>collection_days</t>
  </si>
  <si>
    <t>Agreed payment terms, all invoices (days)</t>
  </si>
  <si>
    <t>terms_days</t>
  </si>
  <si>
    <t>Customers more than 30 days overdue (count)</t>
  </si>
  <si>
    <t>customers_overdue</t>
  </si>
  <si>
    <t>Forecast EBITDA, rest of year (₹ thousand)</t>
  </si>
  <si>
    <t>forecast_ebitda_rest_k</t>
  </si>
  <si>
    <t>Planned EBITDA, rest of year (₹ thousand)</t>
  </si>
  <si>
    <t>planned_ebitda_rest_k</t>
  </si>
  <si>
    <t>Forecast net cash flow, next 90 days (₹ thousand)</t>
  </si>
  <si>
    <t>forecast_net_cash_flow_90d_k</t>
  </si>
  <si>
    <t>Forecast net debt at quarter end (₹ thousand)</t>
  </si>
  <si>
    <t>forecast_net_debt_k</t>
  </si>
  <si>
    <t>Forecast EBITDA, 12 months to quarter end (₹ thousand)</t>
  </si>
  <si>
    <t>forecast_ebitda_ltm_k</t>
  </si>
  <si>
    <t>Foreign-currency exposure, gross (₹ thousand)</t>
  </si>
  <si>
    <t>fx_exposure_k</t>
  </si>
  <si>
    <t>Foreign-currency exposure hedged (₹ thousand)</t>
  </si>
  <si>
    <t>fx_hedged_k</t>
  </si>
  <si>
    <t>USD exposure, gross (₹ thousand)</t>
  </si>
  <si>
    <t>usd_exposure_k</t>
  </si>
  <si>
    <t>USD exposure hedged (₹ thousand)</t>
  </si>
  <si>
    <t>usd_hedged_k</t>
  </si>
  <si>
    <t>Change in value of hedges (₹ thousand)</t>
  </si>
  <si>
    <t>hedge_value_change_k</t>
  </si>
  <si>
    <t>Change in value of hedged items (₹ thousand)</t>
  </si>
  <si>
    <t>hedged_item_value_change_k</t>
  </si>
  <si>
    <t>Forecast foreign-currency flows, next 6 months (₹ thousand)</t>
  </si>
  <si>
    <t>fx_flows_6m_k</t>
  </si>
  <si>
    <t>Of which hedged (₹ thousand)</t>
  </si>
  <si>
    <t>fx_hedged_6m_k</t>
  </si>
  <si>
    <t>Approved capex budget, full year (₹ thousand)</t>
  </si>
  <si>
    <t>capex_budget_k</t>
  </si>
  <si>
    <t>Capex committed to date (₹ thousand)</t>
  </si>
  <si>
    <t>capex_committed_k</t>
  </si>
  <si>
    <t>Capex spent in the month (₹ thousand)</t>
  </si>
  <si>
    <t>capex_spend_k</t>
  </si>
  <si>
    <t>Capex work completed, valued at budget (₹ thousand)</t>
  </si>
  <si>
    <t>capex_earned_value_k</t>
  </si>
  <si>
    <t>Budget of capex projects at risk (₹ thousand)</t>
  </si>
  <si>
    <t>capex_at_risk_k</t>
  </si>
  <si>
    <t>Capex projects on track (count)</t>
  </si>
  <si>
    <t>projects_on_track</t>
  </si>
  <si>
    <t>Capex projects at risk (count)</t>
  </si>
  <si>
    <t>projects_at_risk</t>
  </si>
  <si>
    <t>Capex projects off track (count)</t>
  </si>
  <si>
    <t>projects_off_track</t>
  </si>
  <si>
    <t>Capex projects delayed (count)</t>
  </si>
  <si>
    <t>projects_delayed</t>
  </si>
  <si>
    <t>Contractor milestones due (count)</t>
  </si>
  <si>
    <t>contractor_milestones_due</t>
  </si>
  <si>
    <t>Contractor days late, all milestones (days)</t>
  </si>
  <si>
    <t>contractor_days_late</t>
  </si>
  <si>
    <t>Transformation initiatives on track (count)</t>
  </si>
  <si>
    <t>initiatives_on_track</t>
  </si>
  <si>
    <t>Transformation initiatives at risk (count)</t>
  </si>
  <si>
    <t>initiatives_at_risk</t>
  </si>
  <si>
    <t>Transformation initiatives delayed (count)</t>
  </si>
  <si>
    <t>initiatives_delayed</t>
  </si>
  <si>
    <t>Transformation milestones in plan (count)</t>
  </si>
  <si>
    <t>milestones_total</t>
  </si>
  <si>
    <t>Transformation milestones completed (count)</t>
  </si>
  <si>
    <t>milestones_done</t>
  </si>
  <si>
    <t>Programme benefits planned in the month (₹ thousand)</t>
  </si>
  <si>
    <t>benefits_planned_k</t>
  </si>
  <si>
    <t>Programme benefits delivered in the month (₹ thousand)</t>
  </si>
  <si>
    <t>benefits_delivered_k</t>
  </si>
  <si>
    <t>EBITDA benefit delivered (₹ thousand)</t>
  </si>
  <si>
    <t>ebitda_benefit_k</t>
  </si>
  <si>
    <t>Cash benefit delivered (₹ thousand)</t>
  </si>
  <si>
    <t>cash_benefit_k</t>
  </si>
  <si>
    <t>Cost savings delivered (₹ thousand)</t>
  </si>
  <si>
    <t>cost_savings_k</t>
  </si>
  <si>
    <t>Active supply contracts (count)</t>
  </si>
  <si>
    <t>contracts_total</t>
  </si>
  <si>
    <t>Contracts fully compliant (count)</t>
  </si>
  <si>
    <t>contracts_compliant</t>
  </si>
  <si>
    <t>Contracts expiring in next 90 days (count)</t>
  </si>
  <si>
    <t>contracts_expiring_90d</t>
  </si>
  <si>
    <t>Suppliers not meeting EHS requirements (count)</t>
  </si>
  <si>
    <t>supplier_ehs_noncompliance</t>
  </si>
  <si>
    <t>Critical single-source suppliers (count)</t>
  </si>
  <si>
    <t>single_source_suppliers</t>
  </si>
  <si>
    <t>Control failures (count)</t>
  </si>
  <si>
    <t>control_failures</t>
  </si>
  <si>
    <t>High-severity control failures (count)</t>
  </si>
  <si>
    <t>control_failures_high</t>
  </si>
  <si>
    <t>Assurance reviews planned (count)</t>
  </si>
  <si>
    <t>assurance_reviews_planned</t>
  </si>
  <si>
    <t>Assurance reviews completed (count)</t>
  </si>
  <si>
    <t>assurance_reviews_done</t>
  </si>
  <si>
    <t>Policy exceptions (count)</t>
  </si>
  <si>
    <t>policy_exceptions</t>
  </si>
  <si>
    <t>Unauthorised vendor uses (count)</t>
  </si>
  <si>
    <t>unauthorized_vendor_uses</t>
  </si>
  <si>
    <t>Segregation-of-duties exceptions (count)</t>
  </si>
  <si>
    <t>sod_exceptions</t>
  </si>
  <si>
    <t>Unauthorised access events (count)</t>
  </si>
  <si>
    <t>unauthorized_access_events</t>
  </si>
  <si>
    <t>Data-sharing exceptions (count)</t>
  </si>
  <si>
    <t>data_sharing_exceptions</t>
  </si>
  <si>
    <t>Manual operational or system overrides (count)</t>
  </si>
  <si>
    <t>manual_overrides</t>
  </si>
  <si>
    <t>Certification approvals past due date (count)</t>
  </si>
  <si>
    <t>cert_approvals_ageing</t>
  </si>
  <si>
    <t>KPI values overridden (count)</t>
  </si>
  <si>
    <t>kpi_overrides</t>
  </si>
  <si>
    <t>Recurring data-quality issues (count)</t>
  </si>
  <si>
    <t>dq_issues_recurring</t>
  </si>
  <si>
    <t>Open audit findings (count)</t>
  </si>
  <si>
    <t>audit_findings_open</t>
  </si>
  <si>
    <t>Overdue assurance actions (count)</t>
  </si>
  <si>
    <t>assurance_actions_overdue</t>
  </si>
  <si>
    <t>Repeat audit findings (count)</t>
  </si>
  <si>
    <t>repeat_findings</t>
  </si>
  <si>
    <t>Leadership KPIs affected by open findings (count)</t>
  </si>
  <si>
    <t>leadership_kpis_affected</t>
  </si>
  <si>
    <t>Evidence items required (count)</t>
  </si>
  <si>
    <t>evidence_required</t>
  </si>
  <si>
    <t>Evidence items complete (count)</t>
  </si>
  <si>
    <t>evidence_complete</t>
  </si>
  <si>
    <t>Audit findings closed in the month (count)</t>
  </si>
  <si>
    <t>findings_closed</t>
  </si>
  <si>
    <t>Days taken to close those findings (days)</t>
  </si>
  <si>
    <t>finding_closure_days</t>
  </si>
  <si>
    <t>Leadership KPI values reported (count)</t>
  </si>
  <si>
    <t>kpis_leadership</t>
  </si>
  <si>
    <t>Of which certified (count)</t>
  </si>
  <si>
    <t>kpis_certified</t>
  </si>
  <si>
    <t>Of which inside the certification process (count)</t>
  </si>
  <si>
    <t>kpis_in_scope</t>
  </si>
  <si>
    <t>Certifications overdue (count)</t>
  </si>
  <si>
    <t>certifications_overdue</t>
  </si>
  <si>
    <t>Open reconciliation breaks (count)</t>
  </si>
  <si>
    <t>recon_breaks_open</t>
  </si>
  <si>
    <t>Material reconciliation breaks (count)</t>
  </si>
  <si>
    <t>recon_breaks_material</t>
  </si>
  <si>
    <t>Records loaded to the data lake (count)</t>
  </si>
  <si>
    <t>lake_records_loaded</t>
  </si>
  <si>
    <t>Records reconciled to source (count)</t>
  </si>
  <si>
    <t>lake_records_reconciled</t>
  </si>
  <si>
    <t>Flash report lines (count)</t>
  </si>
  <si>
    <t>mis_lines_total</t>
  </si>
  <si>
    <t>Flash lines matching MIS (count)</t>
  </si>
  <si>
    <t>mis_lines_matched</t>
  </si>
  <si>
    <t>Open critical alerts (count)</t>
  </si>
  <si>
    <t>critical_alerts_open</t>
  </si>
  <si>
    <t>Alerts with no accepted owner (count)</t>
  </si>
  <si>
    <t>alerts_unowned</t>
  </si>
  <si>
    <t>Overdue actions (count)</t>
  </si>
  <si>
    <t>actions_overdue</t>
  </si>
  <si>
    <t>Alerts resolved in the month (count)</t>
  </si>
  <si>
    <t>alerts_resolved</t>
  </si>
  <si>
    <t>Days taken to resolve those alerts (days)</t>
  </si>
  <si>
    <t>alert_resolution_days</t>
  </si>
  <si>
    <t>Escalations closed in the month (count)</t>
  </si>
  <si>
    <t>escalations_closed</t>
  </si>
  <si>
    <t>Repeat issues raised in the month (count)</t>
  </si>
  <si>
    <t>repeat_issues</t>
  </si>
  <si>
    <t>Root causes identified (count)</t>
  </si>
  <si>
    <t>root_causes_identified</t>
  </si>
  <si>
    <t>Root causes eliminated (count)</t>
  </si>
  <si>
    <t>root_causes_eliminated</t>
  </si>
  <si>
    <t>Months since April (YTD)</t>
  </si>
  <si>
    <t>ytd_months</t>
  </si>
  <si>
    <t>Sum of Entity A1 and Entity A2 (Entity Inputs sheet)</t>
  </si>
  <si>
    <t>Lowest of Entity A1 and Entity A2 (Entity Inputs sheet)</t>
  </si>
  <si>
    <t>EBITDA (₹ thousand)</t>
  </si>
  <si>
    <t>ebitda_k</t>
  </si>
  <si>
    <t>Calculated: Revenue − Variable cost − Fixed cost − Overheads</t>
  </si>
  <si>
    <t>EBIT (₹ thousand)</t>
  </si>
  <si>
    <t>ebit_k</t>
  </si>
  <si>
    <t>Calculated: EBITDA − Depreciation and amortisation</t>
  </si>
  <si>
    <t>Net working capital (₹ thousand)</t>
  </si>
  <si>
    <t>nwc_k</t>
  </si>
  <si>
    <t>Calculated: Trade receivables + Inventory − Trade payables</t>
  </si>
  <si>
    <t>Change in net working capital (₹ thousand)</t>
  </si>
  <si>
    <t>nwc_change_k</t>
  </si>
  <si>
    <t>Calculated: Net working capital − last month's net working capital (April uses the 31 March balance on Parameters)</t>
  </si>
  <si>
    <t>Operating cash flow (₹ thousand)</t>
  </si>
  <si>
    <t>op_cash_flow_k</t>
  </si>
  <si>
    <t>Calculated: EBITDA − Tax paid − Change in net working capital</t>
  </si>
  <si>
    <t>Free cash flow (₹ thousand)</t>
  </si>
  <si>
    <t>fcf_k</t>
  </si>
  <si>
    <t>Calculated: Operating cash flow − Capex spent</t>
  </si>
  <si>
    <t>Net debt (₹ thousand)</t>
  </si>
  <si>
    <t>net_debt_k</t>
  </si>
  <si>
    <t>Calculated: Gross debt − Cash</t>
  </si>
  <si>
    <t>EBITDA, annualised (₹ thousand)</t>
  </si>
  <si>
    <t>ebitda_annualised_k</t>
  </si>
  <si>
    <t>Calculated: EBITDA since April × 12 ÷ months elapsed</t>
  </si>
  <si>
    <t>DSO (days)</t>
  </si>
  <si>
    <t>dso_d</t>
  </si>
  <si>
    <t>Calculated: Trade receivables ÷ Revenue × Days in month</t>
  </si>
  <si>
    <t>DPO (days)</t>
  </si>
  <si>
    <t>dpo_d</t>
  </si>
  <si>
    <t>Calculated: Trade payables ÷ Variable cost × Days in month</t>
  </si>
  <si>
    <t>Inventory days (days)</t>
  </si>
  <si>
    <t>dio_d</t>
  </si>
  <si>
    <t>Calculated: Inventory ÷ Variable cost × Days in month</t>
  </si>
  <si>
    <t>Realised price vs plan (%)</t>
  </si>
  <si>
    <t>price_vs_plan_pct</t>
  </si>
  <si>
    <t>Calculated: (Revenue ÷ Sales volume) ÷ (Planned revenue ÷ Planned sales volume) − 1, as %</t>
  </si>
  <si>
    <t>KPI ID</t>
  </si>
  <si>
    <t>Measure</t>
  </si>
  <si>
    <t>Unit</t>
  </si>
  <si>
    <t>Time basis</t>
  </si>
  <si>
    <t>How it is calculated</t>
  </si>
  <si>
    <t>2026-04 (P01)</t>
  </si>
  <si>
    <t>2026-05 (P02)</t>
  </si>
  <si>
    <t>2026-06 (P03)</t>
  </si>
  <si>
    <t>2026-07 (P04)</t>
  </si>
  <si>
    <t>2026-08 (P05)</t>
  </si>
  <si>
    <t>2026-09 (P06)</t>
  </si>
  <si>
    <t>Shown on the mockups today (Group)</t>
  </si>
  <si>
    <t>Screens</t>
  </si>
  <si>
    <t>Inputs used (Group Inputs columns)</t>
  </si>
  <si>
    <t>OPS-001</t>
  </si>
  <si>
    <t>Production vs plan</t>
  </si>
  <si>
    <t>%</t>
  </si>
  <si>
    <t>Good output ÷ Planned production × 100</t>
  </si>
  <si>
    <t>98.1%</t>
  </si>
  <si>
    <t>E-01,E-02,E-05,G-01,G-02,G-03,G-05,O-01,O-09,S-03,S-10,STATE GALLERY</t>
  </si>
  <si>
    <t>planned_production_t, good_output_t</t>
  </si>
  <si>
    <t>OPS-003</t>
  </si>
  <si>
    <t>Capacity utilization</t>
  </si>
  <si>
    <t>Good output ÷ Installed capacity × 100</t>
  </si>
  <si>
    <t>86%</t>
  </si>
  <si>
    <t>E-02,G-05,O-01,STATE GALLERY</t>
  </si>
  <si>
    <t>installed_capacity_t, good_output_t</t>
  </si>
  <si>
    <t>PLT-001</t>
  </si>
  <si>
    <t>Asset utilization</t>
  </si>
  <si>
    <t>Run hours ÷ Calendar hours × 100</t>
  </si>
  <si>
    <t>Not shown</t>
  </si>
  <si>
    <t>calendar_hours, run_hours</t>
  </si>
  <si>
    <t>PLT-002</t>
  </si>
  <si>
    <t>OEE</t>
  </si>
  <si>
    <t>Availability × Performance × Quality = Good output ÷ Ideal output × 100</t>
  </si>
  <si>
    <t>78 %</t>
  </si>
  <si>
    <t>E-02,G-05</t>
  </si>
  <si>
    <t>ideal_output_t, good_output_t</t>
  </si>
  <si>
    <t>PLT-004</t>
  </si>
  <si>
    <t>Recovery percentage</t>
  </si>
  <si>
    <t>Valuable content recovered ÷ Valuable content in feed × 100</t>
  </si>
  <si>
    <t>feed_contained_t, recovered_contained_t</t>
  </si>
  <si>
    <t>PLT-005</t>
  </si>
  <si>
    <t>Yield</t>
  </si>
  <si>
    <t>Good output ÷ Feed input × 100</t>
  </si>
  <si>
    <t>good_output_t, feed_input_t</t>
  </si>
  <si>
    <t>REL-001</t>
  </si>
  <si>
    <t>MTBF</t>
  </si>
  <si>
    <t>h</t>
  </si>
  <si>
    <t>Run hours ÷ Breakdowns</t>
  </si>
  <si>
    <t>205 h</t>
  </si>
  <si>
    <t>E-03,G-05,O-09</t>
  </si>
  <si>
    <t>run_hours, failures</t>
  </si>
  <si>
    <t>REL-002</t>
  </si>
  <si>
    <t>Mean Time to Repair</t>
  </si>
  <si>
    <t>Repair hours ÷ Breakdowns</t>
  </si>
  <si>
    <t>3.6 h</t>
  </si>
  <si>
    <t>failures, repair_hours</t>
  </si>
  <si>
    <t>REL-003</t>
  </si>
  <si>
    <t>Unplanned downtime</t>
  </si>
  <si>
    <t>3.1 % of hours</t>
  </si>
  <si>
    <t>REL-004</t>
  </si>
  <si>
    <t>Production loss from downtime</t>
  </si>
  <si>
    <t>t</t>
  </si>
  <si>
    <t>Production lost to downtime</t>
  </si>
  <si>
    <t>93%</t>
  </si>
  <si>
    <t>E-03,G-05</t>
  </si>
  <si>
    <t>REL-005</t>
  </si>
  <si>
    <t>Preventive-maintenance compliance</t>
  </si>
  <si>
    <t>Preventive maintenance completed ÷ Preventive maintenance scheduled × 100</t>
  </si>
  <si>
    <t>E-03,O-09</t>
  </si>
  <si>
    <t>pm_scheduled, pm_completed</t>
  </si>
  <si>
    <t>CST-001</t>
  </si>
  <si>
    <t>Cost per tonne</t>
  </si>
  <si>
    <t>₹/t</t>
  </si>
  <si>
    <t>(Variable cost + Fixed cost) × 1000 ÷ Good output</t>
  </si>
  <si>
    <t>₹412 /t</t>
  </si>
  <si>
    <t>E-02,E-11,G-03,G-05,O-09</t>
  </si>
  <si>
    <t>good_output_t, variable_cost_k, fixed_cost_k</t>
  </si>
  <si>
    <t>CST-002</t>
  </si>
  <si>
    <t>Variable cost</t>
  </si>
  <si>
    <t>₹ thousand</t>
  </si>
  <si>
    <t>₹214 /t</t>
  </si>
  <si>
    <t>E-02,E-11,G-03,O-09</t>
  </si>
  <si>
    <t>CST-003</t>
  </si>
  <si>
    <t>Fuel cost</t>
  </si>
  <si>
    <t>9.8 ₹/t</t>
  </si>
  <si>
    <t>E-02,O-09</t>
  </si>
  <si>
    <t>SUS-001</t>
  </si>
  <si>
    <t>Water usage</t>
  </si>
  <si>
    <t>m3</t>
  </si>
  <si>
    <t>Water used</t>
  </si>
  <si>
    <t>3.1 m³/t</t>
  </si>
  <si>
    <t>E-02,E-07,G-05,G-07,O-05,O-09</t>
  </si>
  <si>
    <t>SUS-002</t>
  </si>
  <si>
    <t>Emissions</t>
  </si>
  <si>
    <t>tCO2e</t>
  </si>
  <si>
    <t>0.82 tCO2e/t</t>
  </si>
  <si>
    <t>SUS-003</t>
  </si>
  <si>
    <t>Energy intensity</t>
  </si>
  <si>
    <t>GJ/t</t>
  </si>
  <si>
    <t>Energy used ÷ Good output</t>
  </si>
  <si>
    <t>5.2 GJ/t</t>
  </si>
  <si>
    <t>good_output_t, energy_gj</t>
  </si>
  <si>
    <t>SIG-007</t>
  </si>
  <si>
    <t>Production at risk</t>
  </si>
  <si>
    <t>SIG-008</t>
  </si>
  <si>
    <t>Critical plant-state alerts</t>
  </si>
  <si>
    <t>count</t>
  </si>
  <si>
    <t>Critical plant alerts</t>
  </si>
  <si>
    <t>SIG-009</t>
  </si>
  <si>
    <t>Critical-material shortage risk</t>
  </si>
  <si>
    <t>Critical materials at risk</t>
  </si>
  <si>
    <t>3.5 days of cover</t>
  </si>
  <si>
    <t>E-01,E-04,O-09,S-10,S-12</t>
  </si>
  <si>
    <t>SIG-012</t>
  </si>
  <si>
    <t>Dispatch delays</t>
  </si>
  <si>
    <t>Delayed dispatches ÷ Dispatches × 100</t>
  </si>
  <si>
    <t>2–4 days</t>
  </si>
  <si>
    <t>E-05,S-11,S-12</t>
  </si>
  <si>
    <t>dispatches_total, dispatches_delayed</t>
  </si>
  <si>
    <t>SIG-021</t>
  </si>
  <si>
    <t>Environmental violations</t>
  </si>
  <si>
    <t>EHS-001</t>
  </si>
  <si>
    <t>TRIR</t>
  </si>
  <si>
    <t>per 200,000 h</t>
  </si>
  <si>
    <t>Recordable injuries × 200,000 ÷ Hours worked</t>
  </si>
  <si>
    <t>0.42</t>
  </si>
  <si>
    <t>E-07,G-07,O-05</t>
  </si>
  <si>
    <t>hours_worked, recordable_injuries</t>
  </si>
  <si>
    <t>EHS-002</t>
  </si>
  <si>
    <t>Severity incidents</t>
  </si>
  <si>
    <t>0</t>
  </si>
  <si>
    <t>E-07,G-01,G-07,O-05</t>
  </si>
  <si>
    <t>EHS-003</t>
  </si>
  <si>
    <t>Near misses</t>
  </si>
  <si>
    <t>14</t>
  </si>
  <si>
    <t>EHS-004</t>
  </si>
  <si>
    <t>Critical safety incidents</t>
  </si>
  <si>
    <t>EHS-005</t>
  </si>
  <si>
    <t>Environmental excursions</t>
  </si>
  <si>
    <t>1 (minor, closed)</t>
  </si>
  <si>
    <t>EHS-006</t>
  </si>
  <si>
    <t>Open EHS corrective actions</t>
  </si>
  <si>
    <t>9</t>
  </si>
  <si>
    <t>E-07,G-07</t>
  </si>
  <si>
    <t>EHS-007</t>
  </si>
  <si>
    <t>Overdue EHS actions</t>
  </si>
  <si>
    <t>Overdue EHS corrective actions</t>
  </si>
  <si>
    <t>EHS-009</t>
  </si>
  <si>
    <t>EHS investigation completion</t>
  </si>
  <si>
    <t>EHS investigations completed ÷ EHS investigations due × 100 (100 if none due)</t>
  </si>
  <si>
    <t>100%</t>
  </si>
  <si>
    <t>investigations_due, investigations_completed</t>
  </si>
  <si>
    <t>REG-006</t>
  </si>
  <si>
    <t>Licence or permit expiry clock</t>
  </si>
  <si>
    <t>Days to permit expiry (lowest plant)</t>
  </si>
  <si>
    <t>74 days · Entity C1</t>
  </si>
  <si>
    <t>E-07,O-05</t>
  </si>
  <si>
    <t>OPS-005</t>
  </si>
  <si>
    <t>Capacity utilisation (same measure as OPS-003)</t>
  </si>
  <si>
    <t>E-01,G-01,O-01,O-09</t>
  </si>
  <si>
    <t>OPS-006</t>
  </si>
  <si>
    <t>OEE · Group weighted (same measure as PLT-002)</t>
  </si>
  <si>
    <t>Good output ÷ Ideal output × 100 (weighted by output, not an average of plants)</t>
  </si>
  <si>
    <t>78.4 %</t>
  </si>
  <si>
    <t>O-09</t>
  </si>
  <si>
    <t>OPS-002</t>
  </si>
  <si>
    <t>Sales vs plan</t>
  </si>
  <si>
    <t>Sales volume ÷ Planned sales volume × 100</t>
  </si>
  <si>
    <t>97.6%</t>
  </si>
  <si>
    <t>E-01,G-01,G-03,O-01,STATE GALLERY</t>
  </si>
  <si>
    <t>sales_t, planned_sales_t</t>
  </si>
  <si>
    <t>OPS-004</t>
  </si>
  <si>
    <t>Sales vs plan · Group (same measure as OPS-002)</t>
  </si>
  <si>
    <t>O-01</t>
  </si>
  <si>
    <t>CST-004</t>
  </si>
  <si>
    <t>Power cost per tonne</t>
  </si>
  <si>
    <t>Power cost × 1000 ÷ Good output</t>
  </si>
  <si>
    <t>6.1 ₹/t</t>
  </si>
  <si>
    <t>good_output_t, power_cost_k</t>
  </si>
  <si>
    <t>FIN-001</t>
  </si>
  <si>
    <t>EBITDA YTD</t>
  </si>
  <si>
    <t>₹ m</t>
  </si>
  <si>
    <t>Year to date</t>
  </si>
  <si>
    <t>Sum of monthly EBITDA since April ÷ 1000</t>
  </si>
  <si>
    <t>361.3 ₹ m</t>
  </si>
  <si>
    <t>E-01,E-11,G-01,G-02,G-03,O-01,STATE GALLERY</t>
  </si>
  <si>
    <t>FIN-002</t>
  </si>
  <si>
    <t>EBIT YTD</t>
  </si>
  <si>
    <t>Sum of monthly EBIT since April ÷ 1000</t>
  </si>
  <si>
    <t>238.4 ₹ m</t>
  </si>
  <si>
    <t>E-01,E-11,G-01,G-03,O-01,STATE GALLERY</t>
  </si>
  <si>
    <t>FIN-003</t>
  </si>
  <si>
    <t>Revenue YTD</t>
  </si>
  <si>
    <t>Sum of monthly Revenue since April ÷ 1000</t>
  </si>
  <si>
    <t>2,410 ₹ m</t>
  </si>
  <si>
    <t>FIN-004</t>
  </si>
  <si>
    <t>Free cash flow YTD</t>
  </si>
  <si>
    <t>Sum of monthly Free cash flow since April ÷ 1000</t>
  </si>
  <si>
    <t>96.4 ₹ m</t>
  </si>
  <si>
    <t>E-01,E-11,G-01,G-03,O-01,O-03,STATE GALLERY</t>
  </si>
  <si>
    <t>FIN-005</t>
  </si>
  <si>
    <t>ROCE, annualised</t>
  </si>
  <si>
    <t>EBIT since April × 12 ÷ months elapsed ÷ Capital employed × 100</t>
  </si>
  <si>
    <t>11.8%</t>
  </si>
  <si>
    <t>ytd_months, capital_employed_k, ebit_k</t>
  </si>
  <si>
    <t>FIN-006</t>
  </si>
  <si>
    <t>Net debt</t>
  </si>
  <si>
    <t>Month end</t>
  </si>
  <si>
    <t>(Gross debt − Cash) ÷ 1000</t>
  </si>
  <si>
    <t>1,140 ₹ m</t>
  </si>
  <si>
    <t>G-01,G-03,O-01,O-03,STATE GALLERY</t>
  </si>
  <si>
    <t>FIN-007</t>
  </si>
  <si>
    <t>Shareholder-value indicator (economic profit YTD)</t>
  </si>
  <si>
    <t>(EBIT since April × (1 − Tax rate) − Capital employed × Cost of capital × months elapsed ÷ 12) ÷ 1000</t>
  </si>
  <si>
    <t>[PLACEHOLDER]</t>
  </si>
  <si>
    <t>G-03,O-01,STATE GALLERY</t>
  </si>
  <si>
    <t>FIN-008</t>
  </si>
  <si>
    <t>FCF conversion (FCF ÷ EBITDA)</t>
  </si>
  <si>
    <t>Free cash flow since April ÷ EBITDA since April × 100</t>
  </si>
  <si>
    <t>27%</t>
  </si>
  <si>
    <t>G-03</t>
  </si>
  <si>
    <t>ebitda_k, fcf_k</t>
  </si>
  <si>
    <t>CSH-001</t>
  </si>
  <si>
    <t>Cash position</t>
  </si>
  <si>
    <t>Cash ÷ 1000</t>
  </si>
  <si>
    <t>384 ₹ m</t>
  </si>
  <si>
    <t>E-05,G-04,O-03</t>
  </si>
  <si>
    <t>CSH-002</t>
  </si>
  <si>
    <t>Cash released YTD</t>
  </si>
  <si>
    <t>Sum of cash released since April ÷ 1000</t>
  </si>
  <si>
    <t>₹21 m</t>
  </si>
  <si>
    <t>CSH-003</t>
  </si>
  <si>
    <t>Daily collections</t>
  </si>
  <si>
    <t>₹ m per day</t>
  </si>
  <si>
    <t>Cash collected ÷ Days in month ÷ 1000</t>
  </si>
  <si>
    <t>₹18.6 m</t>
  </si>
  <si>
    <t>E-01,E-05,G-04,O-03,S-11</t>
  </si>
  <si>
    <t>days, collections_k</t>
  </si>
  <si>
    <t>CSH-004</t>
  </si>
  <si>
    <t>Cash-conversion cycle</t>
  </si>
  <si>
    <t>DSO + Inventory days − DPO</t>
  </si>
  <si>
    <t>33 d</t>
  </si>
  <si>
    <t>dso_d, dpo_d, dio_d</t>
  </si>
  <si>
    <t>CSH-006</t>
  </si>
  <si>
    <t>Cash-upstream exposure</t>
  </si>
  <si>
    <t>Next 30 days</t>
  </si>
  <si>
    <t>(Cash due to be upstreamed − Amount covered by available cash) ÷ 1000</t>
  </si>
  <si>
    <t>26 ₹ m</t>
  </si>
  <si>
    <t>upstream_due_k, upstream_covered_k</t>
  </si>
  <si>
    <t>WCP-001</t>
  </si>
  <si>
    <t>DSO</t>
  </si>
  <si>
    <t>Trade receivables ÷ Revenue × Days in month</t>
  </si>
  <si>
    <t>47 d</t>
  </si>
  <si>
    <t>E-01,E-05,G-02,G-04,O-03,S-11</t>
  </si>
  <si>
    <t>WCP-002</t>
  </si>
  <si>
    <t>DPO</t>
  </si>
  <si>
    <t>Trade payables ÷ Variable cost × Days in month</t>
  </si>
  <si>
    <t>52 d</t>
  </si>
  <si>
    <t>WCP-003</t>
  </si>
  <si>
    <t>Inventory days</t>
  </si>
  <si>
    <t>Inventory ÷ Variable cost × Days in month</t>
  </si>
  <si>
    <t>38 d</t>
  </si>
  <si>
    <t>WCP-004</t>
  </si>
  <si>
    <t>Net working capital</t>
  </si>
  <si>
    <t>(Trade receivables + Inventory − Trade payables) ÷ 1000</t>
  </si>
  <si>
    <t>512 ₹ m</t>
  </si>
  <si>
    <t>WCP-005</t>
  </si>
  <si>
    <t>Working-capital movement</t>
  </si>
  <si>
    <t>(Net working capital − last month's net working capital) ÷ 1000; positive = cash tied up</t>
  </si>
  <si>
    <t>+₹14 m</t>
  </si>
  <si>
    <t>WCP-006</t>
  </si>
  <si>
    <t>Working-capital days</t>
  </si>
  <si>
    <t>Net working capital ÷ Revenue × Days in month</t>
  </si>
  <si>
    <t>33</t>
  </si>
  <si>
    <t>days, revenue_k, nwc_k</t>
  </si>
  <si>
    <t>LIQ-001</t>
  </si>
  <si>
    <t>Liquidity runway</t>
  </si>
  <si>
    <t>months</t>
  </si>
  <si>
    <t>(Cash + Undrawn facilities) ÷ (Fixed cost + Overheads + Debt service) per month</t>
  </si>
  <si>
    <t>14.2 months</t>
  </si>
  <si>
    <t>fixed_cost_k, overhead_k, cash_k, undrawn_facilities_k, debt_service_k</t>
  </si>
  <si>
    <t>LIQ-002</t>
  </si>
  <si>
    <t>Covenant headroom</t>
  </si>
  <si>
    <t>(Covenant limit − Net debt ÷ Annualised EBITDA) ÷ Covenant limit × 100</t>
  </si>
  <si>
    <t>22 % [TERMS — PH]</t>
  </si>
  <si>
    <t>net_debt_k, ebitda_annualised_k</t>
  </si>
  <si>
    <t>LIQ-003</t>
  </si>
  <si>
    <t>Debt-maturity exposure, next 12 months</t>
  </si>
  <si>
    <t>Debt maturing in next 12 months ÷ 1000</t>
  </si>
  <si>
    <t>₹120 m</t>
  </si>
  <si>
    <t>LIQ-004</t>
  </si>
  <si>
    <t>Financing exposure (floating-rate debt)</t>
  </si>
  <si>
    <t>Floating-rate debt ÷ 1000</t>
  </si>
  <si>
    <t>₹310 m</t>
  </si>
  <si>
    <t>G-04,O-03</t>
  </si>
  <si>
    <t>TRS-001</t>
  </si>
  <si>
    <t>FX exposure, unhedged</t>
  </si>
  <si>
    <t>(Foreign-currency exposure − Amount hedged) ÷ 1000</t>
  </si>
  <si>
    <t>₹64 m</t>
  </si>
  <si>
    <t>fx_exposure_k, fx_hedged_k</t>
  </si>
  <si>
    <t>TRS-002</t>
  </si>
  <si>
    <t>Hedging effectiveness</t>
  </si>
  <si>
    <t>Change in value of hedges ÷ Change in value of hedged items × 100</t>
  </si>
  <si>
    <t>91%</t>
  </si>
  <si>
    <t>hedge_value_change_k, hedged_item_value_change_k</t>
  </si>
  <si>
    <t>TRS-003</t>
  </si>
  <si>
    <t>USD share of unhedged FX exposure</t>
  </si>
  <si>
    <t>(USD exposure − USD hedged) ÷ (FX exposure − FX hedged) × 100</t>
  </si>
  <si>
    <t>72% of unhedged</t>
  </si>
  <si>
    <t>O-03</t>
  </si>
  <si>
    <t>fx_exposure_k, fx_hedged_k, usd_exposure_k, usd_hedged_k</t>
  </si>
  <si>
    <t>TRS-004</t>
  </si>
  <si>
    <t>Hedge cover, next 6 months</t>
  </si>
  <si>
    <t>Next 6 months</t>
  </si>
  <si>
    <t>Foreign-currency flows hedged ÷ Forecast foreign-currency flows, next 6 months × 100</t>
  </si>
  <si>
    <t>68%</t>
  </si>
  <si>
    <t>fx_flows_6m_k, fx_hedged_6m_k</t>
  </si>
  <si>
    <t>TRS-005</t>
  </si>
  <si>
    <t>FX sensitivity, 5% USD move</t>
  </si>
  <si>
    <t>5% × (USD exposure − USD hedged) ÷ 1000</t>
  </si>
  <si>
    <t>₹3.2 m EBITDA</t>
  </si>
  <si>
    <t>usd_exposure_k, usd_hedged_k</t>
  </si>
  <si>
    <t>CPX-001</t>
  </si>
  <si>
    <t>Approved capex budget</t>
  </si>
  <si>
    <t>Full year</t>
  </si>
  <si>
    <t>Approved capex budget ÷ 1000</t>
  </si>
  <si>
    <t>850 ₹ m</t>
  </si>
  <si>
    <t>E-06,G-06,O-04</t>
  </si>
  <si>
    <t>CPX-002</t>
  </si>
  <si>
    <t>Committed capex</t>
  </si>
  <si>
    <t>To date</t>
  </si>
  <si>
    <t>Capex committed to date ÷ 1000</t>
  </si>
  <si>
    <t>610 ₹ m · 72%</t>
  </si>
  <si>
    <t>CPX-003</t>
  </si>
  <si>
    <t>Capex actual spend YTD</t>
  </si>
  <si>
    <t>Sum of capex spent since April ÷ 1000</t>
  </si>
  <si>
    <t>402 ₹ m · 47%</t>
  </si>
  <si>
    <t>CPX-004</t>
  </si>
  <si>
    <t>Capex physical progress, weighted</t>
  </si>
  <si>
    <t>Work completed valued at budget ÷ Approved budget × 100 (weights each project by its budget)</t>
  </si>
  <si>
    <t>61 % weighted</t>
  </si>
  <si>
    <t>E-06,G-01,G-06,O-01,O-04,STATE GALLERY</t>
  </si>
  <si>
    <t>capex_budget_k, capex_earned_value_k</t>
  </si>
  <si>
    <t>SIG-011</t>
  </si>
  <si>
    <t>Capex value at risk</t>
  </si>
  <si>
    <t>Budget of projects at risk ÷ 1000</t>
  </si>
  <si>
    <t>₹34 m</t>
  </si>
  <si>
    <t>PRG-001</t>
  </si>
  <si>
    <t>Capex project status</t>
  </si>
  <si>
    <t>text</t>
  </si>
  <si>
    <t>Count of projects by status</t>
  </si>
  <si>
    <t>9 on track · 2 at risk · 0 off track</t>
  </si>
  <si>
    <t>G-06,O-04</t>
  </si>
  <si>
    <t>projects_on_track, projects_at_risk, projects_off_track</t>
  </si>
  <si>
    <t>PRG-002</t>
  </si>
  <si>
    <t>Benefits realisation</t>
  </si>
  <si>
    <t>Benefits delivered since April ÷ Benefits planned since April × 100</t>
  </si>
  <si>
    <t>48 % of plan</t>
  </si>
  <si>
    <t>benefits_planned_k, benefits_delivered_k</t>
  </si>
  <si>
    <t>PRG-003</t>
  </si>
  <si>
    <t>Delayed projects</t>
  </si>
  <si>
    <t>Capex projects delayed</t>
  </si>
  <si>
    <t>1</t>
  </si>
  <si>
    <t>PRG-004</t>
  </si>
  <si>
    <t>Capex / transformation progress (same measure as STR-002)</t>
  </si>
  <si>
    <t>Transformation milestones completed ÷ Milestones in plan × 100</t>
  </si>
  <si>
    <t>54%</t>
  </si>
  <si>
    <t>E-01,G-01,O-01,O-04</t>
  </si>
  <si>
    <t>milestones_total, milestones_done</t>
  </si>
  <si>
    <t>STR-002</t>
  </si>
  <si>
    <t>Transformation progress</t>
  </si>
  <si>
    <t>G-06,O-01,O-04,STATE GALLERY</t>
  </si>
  <si>
    <t>PRG-005</t>
  </si>
  <si>
    <t>Transformation initiative status</t>
  </si>
  <si>
    <t>Count of transformation initiatives by status</t>
  </si>
  <si>
    <t>15 on track · 6 at risk · 3 delayed</t>
  </si>
  <si>
    <t>E-06,O-04</t>
  </si>
  <si>
    <t>initiatives_on_track, initiatives_at_risk, initiatives_delayed</t>
  </si>
  <si>
    <t>SUP-006</t>
  </si>
  <si>
    <t>Contractor slippage</t>
  </si>
  <si>
    <t>Contractor days late ÷ Contractor milestones due (average days late per milestone)</t>
  </si>
  <si>
    <t>E-04,E-06,G-06</t>
  </si>
  <si>
    <t>contractor_milestones_due, contractor_days_late</t>
  </si>
  <si>
    <t>VAL-001</t>
  </si>
  <si>
    <t>EBITDA benefit YTD</t>
  </si>
  <si>
    <t>Sum of EBITDA benefit since April ÷ 1000</t>
  </si>
  <si>
    <t>₹14 m</t>
  </si>
  <si>
    <t>VAL-002</t>
  </si>
  <si>
    <t>Cash benefit YTD</t>
  </si>
  <si>
    <t>Sum of cash benefit since April ÷ 1000</t>
  </si>
  <si>
    <t>₹9 m</t>
  </si>
  <si>
    <t>VAL-003</t>
  </si>
  <si>
    <t>Cost savings delivered YTD</t>
  </si>
  <si>
    <t>Sum of cost savings since April ÷ 1000</t>
  </si>
  <si>
    <t>₹11 m</t>
  </si>
  <si>
    <t>SUP-001</t>
  </si>
  <si>
    <t>Supplier on-time delivery</t>
  </si>
  <si>
    <t>Purchase-order lines on time ÷ Lines due × 100</t>
  </si>
  <si>
    <t>E-04,G-05,O-09</t>
  </si>
  <si>
    <t>po_lines_due, po_lines_on_time</t>
  </si>
  <si>
    <t>SUP-002</t>
  </si>
  <si>
    <t>Supplier fill rate</t>
  </si>
  <si>
    <t>Quantity received ÷ Quantity ordered × 100</t>
  </si>
  <si>
    <t>qty_ordered_t, qty_received_t</t>
  </si>
  <si>
    <t>SUP-003</t>
  </si>
  <si>
    <t>Supplier quality-rejection rate</t>
  </si>
  <si>
    <t>Quantity rejected ÷ Quantity received × 100</t>
  </si>
  <si>
    <t>qty_received_t, qty_rejected_t</t>
  </si>
  <si>
    <t>SUP-004</t>
  </si>
  <si>
    <t>Supplier lead-time variance</t>
  </si>
  <si>
    <t>(Actual lead time − Planned lead time) ÷ Planned lead time × 100</t>
  </si>
  <si>
    <t>38%</t>
  </si>
  <si>
    <t>E-04,G-05</t>
  </si>
  <si>
    <t>lead_time_planned_days, lead_time_actual_days</t>
  </si>
  <si>
    <t>SUP-005</t>
  </si>
  <si>
    <t>Critical supplier exposure</t>
  </si>
  <si>
    <t>Critical single-source suppliers</t>
  </si>
  <si>
    <t>3 single-source (1 elevated: S-07)</t>
  </si>
  <si>
    <t>SUP-007</t>
  </si>
  <si>
    <t>Single-source spend share</t>
  </si>
  <si>
    <t>Spend with single-source suppliers ÷ Supplier spend × 100</t>
  </si>
  <si>
    <t>supplier_spend_k, single_source_spend_k</t>
  </si>
  <si>
    <t>SUP-008</t>
  </si>
  <si>
    <t>Supplier EHS incidents YTD</t>
  </si>
  <si>
    <t>Sum of supplier EHS incidents since April</t>
  </si>
  <si>
    <t>CON-001</t>
  </si>
  <si>
    <t>Contracts expiring, next 90 days</t>
  </si>
  <si>
    <t>Contracts expiring in next 90 days</t>
  </si>
  <si>
    <t>4</t>
  </si>
  <si>
    <t>E-04,E-07,G-07,O-05</t>
  </si>
  <si>
    <t>CON-002</t>
  </si>
  <si>
    <t>Contract-compliance rate</t>
  </si>
  <si>
    <t>Contracts fully compliant ÷ Active contracts × 100</t>
  </si>
  <si>
    <t>96%</t>
  </si>
  <si>
    <t>contracts_total, contracts_compliant</t>
  </si>
  <si>
    <t>CON-003</t>
  </si>
  <si>
    <t>Supplier EHS non-compliance</t>
  </si>
  <si>
    <t>Suppliers not meeting EHS requirements</t>
  </si>
  <si>
    <t>E-04,E-07,G-05,G-07,O-05</t>
  </si>
  <si>
    <t>REG-001</t>
  </si>
  <si>
    <t>Pending filings</t>
  </si>
  <si>
    <t>Regulatory filings pending</t>
  </si>
  <si>
    <t>3</t>
  </si>
  <si>
    <t>REG-002</t>
  </si>
  <si>
    <t>Regulatory deadlines, next 30 days</t>
  </si>
  <si>
    <t>Regulatory deadlines in next 30 days</t>
  </si>
  <si>
    <t>REG-003</t>
  </si>
  <si>
    <t>Licence expirations, next 12 months</t>
  </si>
  <si>
    <t>Licences expiring in next 12 months</t>
  </si>
  <si>
    <t>2</t>
  </si>
  <si>
    <t>REG-004</t>
  </si>
  <si>
    <t>Regulatory obligations due, next 30 days</t>
  </si>
  <si>
    <t>Regulatory obligations due in next 30 days</t>
  </si>
  <si>
    <t>5</t>
  </si>
  <si>
    <t>REG-005</t>
  </si>
  <si>
    <t>Overdue regulatory obligations</t>
  </si>
  <si>
    <t>Regulatory obligations overdue</t>
  </si>
  <si>
    <t>REG-007</t>
  </si>
  <si>
    <t>Open regulatory actions</t>
  </si>
  <si>
    <t>REG-008</t>
  </si>
  <si>
    <t>Overdue compliance actions</t>
  </si>
  <si>
    <t>REG-009</t>
  </si>
  <si>
    <t>Disclosure-clock status</t>
  </si>
  <si>
    <t>Triggered if any event that needs disclosure is open, otherwise Not triggered</t>
  </si>
  <si>
    <t>Not triggered</t>
  </si>
  <si>
    <t>O-05</t>
  </si>
  <si>
    <t>REG-010</t>
  </si>
  <si>
    <t>Regulatory breaches YTD</t>
  </si>
  <si>
    <t>Sum of regulatory breaches since April</t>
  </si>
  <si>
    <t>E-07,G-01,O-05</t>
  </si>
  <si>
    <t>RSK-003</t>
  </si>
  <si>
    <t>Regulatory breaches YTD (same measure as REG-010)</t>
  </si>
  <si>
    <t>O-01,STATE GALLERY</t>
  </si>
  <si>
    <t>CMP-005</t>
  </si>
  <si>
    <t>E-01,O-01</t>
  </si>
  <si>
    <t>EHS-008</t>
  </si>
  <si>
    <t>EHS escalation clocks running</t>
  </si>
  <si>
    <t>0 running</t>
  </si>
  <si>
    <t>EHS-010</t>
  </si>
  <si>
    <t>EHS investigation completion rate YTD</t>
  </si>
  <si>
    <t>EHS investigations completed since April ÷ Investigations due since April × 100 (100 if none due)</t>
  </si>
  <si>
    <t>83%</t>
  </si>
  <si>
    <t>G-07</t>
  </si>
  <si>
    <t>CTL-002</t>
  </si>
  <si>
    <t>Control failures YTD</t>
  </si>
  <si>
    <t>Sum of control failures since April</t>
  </si>
  <si>
    <t>CTL-004</t>
  </si>
  <si>
    <t>High-severity control failures YTD</t>
  </si>
  <si>
    <t>Sum of high-severity control failures since April</t>
  </si>
  <si>
    <t>G-07,O-05</t>
  </si>
  <si>
    <t>CTL-005</t>
  </si>
  <si>
    <t>Policy exceptions YTD</t>
  </si>
  <si>
    <t>Sum of policy exceptions since April</t>
  </si>
  <si>
    <t>CTL-006</t>
  </si>
  <si>
    <t>Unauthorised-vendor usage YTD</t>
  </si>
  <si>
    <t>Sum of unauthorised vendor uses since April</t>
  </si>
  <si>
    <t>CTL-007</t>
  </si>
  <si>
    <t>Segregation-of-duties exceptions YTD</t>
  </si>
  <si>
    <t>Sum of segregation-of-duties exceptions since April</t>
  </si>
  <si>
    <t>CTL-008</t>
  </si>
  <si>
    <t>Unauthorised-access events YTD</t>
  </si>
  <si>
    <t>Sum of unauthorised access events since April</t>
  </si>
  <si>
    <t>CTL-009</t>
  </si>
  <si>
    <t>Data-sharing exceptions YTD</t>
  </si>
  <si>
    <t>Sum of data-sharing exceptions since April</t>
  </si>
  <si>
    <t>CTL-010</t>
  </si>
  <si>
    <t>Manual overrides YTD</t>
  </si>
  <si>
    <t>Sum of manual operational or system overrides since April</t>
  </si>
  <si>
    <t>12</t>
  </si>
  <si>
    <t>CTL-003</t>
  </si>
  <si>
    <t>Assurance reviews completed</t>
  </si>
  <si>
    <t>Assurance reviews completed since April, of those planned since April</t>
  </si>
  <si>
    <t>6 of 8</t>
  </si>
  <si>
    <t>assurance_reviews_planned, assurance_reviews_done</t>
  </si>
  <si>
    <t>GOV-001</t>
  </si>
  <si>
    <t>Ageing certification approvals</t>
  </si>
  <si>
    <t>Certification approvals past due date</t>
  </si>
  <si>
    <t>2 &gt; [PH] d</t>
  </si>
  <si>
    <t>E-08,G-08</t>
  </si>
  <si>
    <t>GOV-002</t>
  </si>
  <si>
    <t>KPI overrides</t>
  </si>
  <si>
    <t>KPI values overridden</t>
  </si>
  <si>
    <t>GOV-003</t>
  </si>
  <si>
    <t>Recurring data-quality issues</t>
  </si>
  <si>
    <t>GOV-004</t>
  </si>
  <si>
    <t>Open audit findings</t>
  </si>
  <si>
    <t>7</t>
  </si>
  <si>
    <t>E-07,E-08,G-07,G-08,O-05</t>
  </si>
  <si>
    <t>GOV-005</t>
  </si>
  <si>
    <t>Overdue assurance actions</t>
  </si>
  <si>
    <t>GOV-006</t>
  </si>
  <si>
    <t>Repeat findings</t>
  </si>
  <si>
    <t>Repeat audit findings</t>
  </si>
  <si>
    <t>GOV-007</t>
  </si>
  <si>
    <t>Leadership KPIs affected by findings</t>
  </si>
  <si>
    <t>Leadership KPIs affected by open findings</t>
  </si>
  <si>
    <t>G-08</t>
  </si>
  <si>
    <t>TRU-004</t>
  </si>
  <si>
    <t>Open reconciliation breaks</t>
  </si>
  <si>
    <t>TRU-006</t>
  </si>
  <si>
    <t>Overdue certifications</t>
  </si>
  <si>
    <t>Certifications overdue</t>
  </si>
  <si>
    <t>TRU-007</t>
  </si>
  <si>
    <t>Material reconciliation breaks</t>
  </si>
  <si>
    <t>GOV-008</t>
  </si>
  <si>
    <t>Evidence completeness rate</t>
  </si>
  <si>
    <t>Evidence items complete ÷ Evidence items required × 100</t>
  </si>
  <si>
    <t>88%</t>
  </si>
  <si>
    <t>evidence_required, evidence_complete</t>
  </si>
  <si>
    <t>GOV-009</t>
  </si>
  <si>
    <t>Average finding-closure time</t>
  </si>
  <si>
    <t>Days taken to close findings since April ÷ Findings closed since April</t>
  </si>
  <si>
    <t>34 d</t>
  </si>
  <si>
    <t>findings_closed, finding_closure_days</t>
  </si>
  <si>
    <t>TRU-001</t>
  </si>
  <si>
    <t>Certified KPI percentage</t>
  </si>
  <si>
    <t>Leadership KPI values certified ÷ Leadership KPI values reported × 100</t>
  </si>
  <si>
    <t>84 % of leadership KPIs</t>
  </si>
  <si>
    <t>E-08,G-01,G-02,G-08</t>
  </si>
  <si>
    <t>kpis_leadership, kpis_certified</t>
  </si>
  <si>
    <t>TRU-002</t>
  </si>
  <si>
    <t>Uncertified KPI count</t>
  </si>
  <si>
    <t>Leadership KPI values reported − Values certified</t>
  </si>
  <si>
    <t>TRU-005</t>
  </si>
  <si>
    <t>KPI certification coverage</t>
  </si>
  <si>
    <t>Leadership KPI values inside the certification process ÷ Values reported × 100</t>
  </si>
  <si>
    <t>92%</t>
  </si>
  <si>
    <t>kpis_leadership, kpis_in_scope</t>
  </si>
  <si>
    <t>TRU-008</t>
  </si>
  <si>
    <t>Source-to-Lake reconciliation rate</t>
  </si>
  <si>
    <t>Records reconciled to source ÷ Records loaded × 100</t>
  </si>
  <si>
    <t>99.2%</t>
  </si>
  <si>
    <t>lake_records_loaded, lake_records_reconciled</t>
  </si>
  <si>
    <t>TRU-009</t>
  </si>
  <si>
    <t>Flash-to-MIS reconciliation rate</t>
  </si>
  <si>
    <t>Flash lines matching MIS ÷ Flash report lines × 100</t>
  </si>
  <si>
    <t>96.8%</t>
  </si>
  <si>
    <t>mis_lines_total, mis_lines_matched</t>
  </si>
  <si>
    <t>TRU-010</t>
  </si>
  <si>
    <t>Flash-to-close variance</t>
  </si>
  <si>
    <t>|Flash revenue − Closed revenue| ÷ Closed revenue × 100</t>
  </si>
  <si>
    <t>0.6 %</t>
  </si>
  <si>
    <t>revenue_k, flash_revenue_k</t>
  </si>
  <si>
    <t>TRU-003</t>
  </si>
  <si>
    <t>Variance against Board number (EBITDA)</t>
  </si>
  <si>
    <t>(Board-pack EBITDA − Certified EBITDA) ÷ Certified EBITDA × 100</t>
  </si>
  <si>
    <t>[BOARD FIGURE — PH]</t>
  </si>
  <si>
    <t>board_ebitda_k, ebitda_k</t>
  </si>
  <si>
    <t>TRU-011</t>
  </si>
  <si>
    <t>Largest entity variance against Board numbers</t>
  </si>
  <si>
    <t>Highest of the entities' |Board-pack EBITDA − Certified EBITDA| ÷ Certified EBITDA × 100</t>
  </si>
  <si>
    <t>0.3% max abs · Entity B2</t>
  </si>
  <si>
    <t>variable_cost_k, fixed_cost_k, revenue_k, overhead_k, board_ebitda_k</t>
  </si>
  <si>
    <t>EFF-002</t>
  </si>
  <si>
    <t>Open critical alerts</t>
  </si>
  <si>
    <t>E-01,E-09,G-01,G-02,G-07,G-09,O-01,STATE GALLERY</t>
  </si>
  <si>
    <t>EFF-006</t>
  </si>
  <si>
    <t>Alerts without accepted owners</t>
  </si>
  <si>
    <t>Alerts with no accepted owner</t>
  </si>
  <si>
    <t>G-09</t>
  </si>
  <si>
    <t>EFF-007</t>
  </si>
  <si>
    <t>Overdue actions</t>
  </si>
  <si>
    <t>E-01,E-09,G-09</t>
  </si>
  <si>
    <t>EFF-008</t>
  </si>
  <si>
    <t>Average resolution time</t>
  </si>
  <si>
    <t>Days taken to resolve alerts ÷ Alerts resolved</t>
  </si>
  <si>
    <t>2.4 d</t>
  </si>
  <si>
    <t>E-09,G-09,O-06</t>
  </si>
  <si>
    <t>alerts_resolved, alert_resolution_days</t>
  </si>
  <si>
    <t>EFF-009</t>
  </si>
  <si>
    <t>Closed escalations, last 30 days</t>
  </si>
  <si>
    <t>Escalations closed in the month</t>
  </si>
  <si>
    <t>11</t>
  </si>
  <si>
    <t>EFF-010</t>
  </si>
  <si>
    <t>Repeat issues, last 90 days</t>
  </si>
  <si>
    <t>Last 3 months</t>
  </si>
  <si>
    <t>Sum of repeat issues over the last 3 months</t>
  </si>
  <si>
    <t>EFF-011</t>
  </si>
  <si>
    <t>Root causes eliminated YTD</t>
  </si>
  <si>
    <t>Root causes eliminated since April, of those identified since April</t>
  </si>
  <si>
    <t>7 of 9</t>
  </si>
  <si>
    <t>root_causes_identified, root_causes_eliminated</t>
  </si>
  <si>
    <t>SIG-004</t>
  </si>
  <si>
    <t>Collections slippage</t>
  </si>
  <si>
    <t>(Days taken to collect − Agreed payment terms) ÷ Invoices collected (average days late)</t>
  </si>
  <si>
    <t>+2 d (A1)</t>
  </si>
  <si>
    <t>E-05,G-04,O-03,S-12</t>
  </si>
  <si>
    <t>invoices_collected, collection_days, terms_days</t>
  </si>
  <si>
    <t>SIG-005</t>
  </si>
  <si>
    <t>Payment delays</t>
  </si>
  <si>
    <t>customers</t>
  </si>
  <si>
    <t>Customers more than 30 days overdue</t>
  </si>
  <si>
    <t>2 customers (A1)</t>
  </si>
  <si>
    <t>E-05,G-04</t>
  </si>
  <si>
    <t>SIG-006</t>
  </si>
  <si>
    <t>Cash burn signal</t>
  </si>
  <si>
    <t>Triggered if operating cash flow in the month is negative</t>
  </si>
  <si>
    <t>SIG-013</t>
  </si>
  <si>
    <t>Pricing pressure</t>
  </si>
  <si>
    <t>Realised price vs plan: Low if above −1%, Medium down to −3%, High below −3%</t>
  </si>
  <si>
    <t>Low</t>
  </si>
  <si>
    <t>PRD-001</t>
  </si>
  <si>
    <t>Days to breach (earliest plant)</t>
  </si>
  <si>
    <t>Forecast</t>
  </si>
  <si>
    <t>Lowest plant forecast of days until its production plan is breached (99 = not expected)</t>
  </si>
  <si>
    <t>E-01,E-04,O-01,O-02,O-09,S-10,S-12,STATE GALLERY</t>
  </si>
  <si>
    <t>PRD-002</t>
  </si>
  <si>
    <t>Probability of production plan miss, next month</t>
  </si>
  <si>
    <t>Next month</t>
  </si>
  <si>
    <t>Chance that output falls below plan: normal distribution with mean = Forecast good output, spread = √(sum of plant forecast variances)</t>
  </si>
  <si>
    <t>64%</t>
  </si>
  <si>
    <t>G-01,G-10,O-01,O-02,S-12,STATE GALLERY</t>
  </si>
  <si>
    <t>planned_production_next_t, forecast_good_next_t, forecast_good_var_next</t>
  </si>
  <si>
    <t>PRD-003</t>
  </si>
  <si>
    <t>Projected EBITDA gap, rest of year</t>
  </si>
  <si>
    <t>(Forecast EBITDA − Planned EBITDA, rest of year) ÷ 1000</t>
  </si>
  <si>
    <t>−₹9.2 m</t>
  </si>
  <si>
    <t>G-01,G-03,G-10,O-01,O-02,S-09,S-12,STATE GALLERY</t>
  </si>
  <si>
    <t>forecast_ebitda_rest_k, planned_ebitda_rest_k</t>
  </si>
  <si>
    <t>PRD-004</t>
  </si>
  <si>
    <t>Projected liquidity gap, next 90 days</t>
  </si>
  <si>
    <t>₹ m or text</t>
  </si>
  <si>
    <t>Next 90 days</t>
  </si>
  <si>
    <t>Cash + Undrawn facilities + Forecast net cash flow (90 days); 'None' if not negative</t>
  </si>
  <si>
    <t>None within 90 d</t>
  </si>
  <si>
    <t>G-01,G-04,O-02,O-03,S-12</t>
  </si>
  <si>
    <t>cash_k, undrawn_facilities_k, forecast_net_cash_flow_90d_k</t>
  </si>
  <si>
    <t>PRD-005</t>
  </si>
  <si>
    <t>Forecast covenant breach</t>
  </si>
  <si>
    <t>Quarter end</t>
  </si>
  <si>
    <t>Breach forecast if Forecast net debt ÷ Forecast 12-month EBITDA exceeds the covenant limit</t>
  </si>
  <si>
    <t>Not forecast</t>
  </si>
  <si>
    <t>G-04,G-10,O-02,O-03,S-12</t>
  </si>
  <si>
    <t>forecast_net_debt_k, forecast_ebitda_ltm_k</t>
  </si>
  <si>
    <t>PRD-006</t>
  </si>
  <si>
    <t>Production loss from downtime, next month</t>
  </si>
  <si>
    <t>kt</t>
  </si>
  <si>
    <t>Forecast production lost to downtime next month ÷ 1000</t>
  </si>
  <si>
    <t>11.2 kt</t>
  </si>
  <si>
    <t>G-05,G-10,O-09</t>
  </si>
  <si>
    <t>PRD-007</t>
  </si>
  <si>
    <t>Probability OEE below 78%, next month</t>
  </si>
  <si>
    <t>Chance that Forecast good output &lt; 78% × Ideal output next month (same distribution as PRD-002)</t>
  </si>
  <si>
    <t>41%</t>
  </si>
  <si>
    <t>forecast_good_next_t, forecast_good_var_next, ideal_output_next_t</t>
  </si>
  <si>
    <t>Formula</t>
  </si>
  <si>
    <t>Calculated value, Sep 2026 (P06)</t>
  </si>
  <si>
    <t>Shown on the mockups (Group)</t>
  </si>
  <si>
    <t>Same or different</t>
  </si>
  <si>
    <t>Where the inputs come from</t>
  </si>
  <si>
    <t>Different</t>
  </si>
  <si>
    <t>Original plant data (plant_base.csv, synthetic)</t>
  </si>
  <si>
    <t>Same</t>
  </si>
  <si>
    <t>Synthetic inputs added for this model</t>
  </si>
  <si>
    <t>Original plant data + synthetic inputs added for this model</t>
  </si>
  <si>
    <t>Sum of monthly EBITDA since April ÷ 1000  [Year to date]</t>
  </si>
  <si>
    <t>Sum of monthly EBIT since April ÷ 1000  [Year to date]</t>
  </si>
  <si>
    <t>Sum of monthly Revenue since April ÷ 1000  [Year to date]</t>
  </si>
  <si>
    <t>Sum of monthly Free cash flow since April ÷ 1000  [Year to date]</t>
  </si>
  <si>
    <t>EBIT since April × 12 ÷ months elapsed ÷ Capital employed × 100  [Year to date]</t>
  </si>
  <si>
    <t>(Gross debt − Cash) ÷ 1000  [Month end]</t>
  </si>
  <si>
    <t>(EBIT since April × (1 − Tax rate) − Capital employed × Cost of capital × months elapsed ÷ 12) ÷ 1000  [Year to date]</t>
  </si>
  <si>
    <t>Free cash flow since April ÷ EBITDA since April × 100  [Year to date]</t>
  </si>
  <si>
    <t>Cash ÷ 1000  [Month end]</t>
  </si>
  <si>
    <t>Sum of cash released since April ÷ 1000  [Year to date]</t>
  </si>
  <si>
    <t>DSO + Inventory days − DPO  [Month end]</t>
  </si>
  <si>
    <t>(Cash due to be upstreamed − Amount covered by available cash) ÷ 1000  [Next 30 days]</t>
  </si>
  <si>
    <t>Trade receivables ÷ Revenue × Days in month  [Month end]</t>
  </si>
  <si>
    <t>Trade payables ÷ Variable cost × Days in month  [Month end]</t>
  </si>
  <si>
    <t>Inventory ÷ Variable cost × Days in month  [Month end]</t>
  </si>
  <si>
    <t>(Trade receivables + Inventory − Trade payables) ÷ 1000  [Month end]</t>
  </si>
  <si>
    <t>Net working capital ÷ Revenue × Days in month  [Month end]</t>
  </si>
  <si>
    <t>(Cash + Undrawn facilities) ÷ (Fixed cost + Overheads + Debt service) per month  [Month end]</t>
  </si>
  <si>
    <t>(Covenant limit − Net debt ÷ Annualised EBITDA) ÷ Covenant limit × 100  [Month end]</t>
  </si>
  <si>
    <t>Debt maturing in next 12 months ÷ 1000  [Month end]</t>
  </si>
  <si>
    <t>Floating-rate debt ÷ 1000  [Month end]</t>
  </si>
  <si>
    <t>(Foreign-currency exposure − Amount hedged) ÷ 1000  [Month end]</t>
  </si>
  <si>
    <t>(USD exposure − USD hedged) ÷ (FX exposure − FX hedged) × 100  [Month end]</t>
  </si>
  <si>
    <t>Foreign-currency flows hedged ÷ Forecast foreign-currency flows, next 6 months × 100  [Next 6 months]</t>
  </si>
  <si>
    <t>5% × (USD exposure − USD hedged) ÷ 1000  [Month end]</t>
  </si>
  <si>
    <t>Approved capex budget ÷ 1000  [Full year]</t>
  </si>
  <si>
    <t>Capex committed to date ÷ 1000  [To date]</t>
  </si>
  <si>
    <t>Sum of capex spent since April ÷ 1000  [Year to date]</t>
  </si>
  <si>
    <t>Work completed valued at budget ÷ Approved budget × 100 (weights each project by its budget)  [To date]</t>
  </si>
  <si>
    <t>Budget of projects at risk ÷ 1000  [Month end]</t>
  </si>
  <si>
    <t>Count of projects by status  [Month end]</t>
  </si>
  <si>
    <t>Benefits delivered since April ÷ Benefits planned since April × 100  [Year to date]</t>
  </si>
  <si>
    <t>Capex projects delayed  [Month end]</t>
  </si>
  <si>
    <t>Transformation milestones completed ÷ Milestones in plan × 100  [To date]</t>
  </si>
  <si>
    <t>Count of transformation initiatives by status  [Month end]</t>
  </si>
  <si>
    <t>Sum of EBITDA benefit since April ÷ 1000  [Year to date]</t>
  </si>
  <si>
    <t>Sum of cash benefit since April ÷ 1000  [Year to date]</t>
  </si>
  <si>
    <t>Sum of cost savings since April ÷ 1000  [Year to date]</t>
  </si>
  <si>
    <t>Critical single-source suppliers  [Month end]</t>
  </si>
  <si>
    <t>Sum of supplier EHS incidents since April  [Year to date]</t>
  </si>
  <si>
    <t>Contracts expiring in next 90 days  [Month end]</t>
  </si>
  <si>
    <t>Contracts fully compliant ÷ Active contracts × 100  [Month end]</t>
  </si>
  <si>
    <t>Suppliers not meeting EHS requirements  [Month end]</t>
  </si>
  <si>
    <t>Regulatory filings pending  [Month end]</t>
  </si>
  <si>
    <t>Regulatory deadlines in next 30 days  [Month end]</t>
  </si>
  <si>
    <t>Licences expiring in next 12 months  [Month end]</t>
  </si>
  <si>
    <t>Regulatory obligations due in next 30 days  [Month end]</t>
  </si>
  <si>
    <t>Regulatory obligations overdue  [Month end]</t>
  </si>
  <si>
    <t>Open regulatory actions  [Month end]</t>
  </si>
  <si>
    <t>Overdue compliance actions  [Month end]</t>
  </si>
  <si>
    <t>Triggered if any event that needs disclosure is open, otherwise Not triggered  [Month end]</t>
  </si>
  <si>
    <t>Sum of regulatory breaches since April  [Year to date]</t>
  </si>
  <si>
    <t>EHS escalation clocks running  [Month end]</t>
  </si>
  <si>
    <t>EHS investigations completed since April ÷ Investigations due since April × 100 (100 if none due)  [Year to date]</t>
  </si>
  <si>
    <t>Sum of control failures since April  [Year to date]</t>
  </si>
  <si>
    <t>Sum of high-severity control failures since April  [Year to date]</t>
  </si>
  <si>
    <t>Sum of policy exceptions since April  [Year to date]</t>
  </si>
  <si>
    <t>Sum of unauthorised vendor uses since April  [Year to date]</t>
  </si>
  <si>
    <t>Sum of segregation-of-duties exceptions since April  [Year to date]</t>
  </si>
  <si>
    <t>Sum of unauthorised access events since April  [Year to date]</t>
  </si>
  <si>
    <t>Sum of data-sharing exceptions since April  [Year to date]</t>
  </si>
  <si>
    <t>Sum of manual operational or system overrides since April  [Year to date]</t>
  </si>
  <si>
    <t>Assurance reviews completed since April, of those planned since April  [Year to date]</t>
  </si>
  <si>
    <t>Certification approvals past due date  [Month end]</t>
  </si>
  <si>
    <t>KPI values overridden  [Month end]</t>
  </si>
  <si>
    <t>Recurring data-quality issues  [Month end]</t>
  </si>
  <si>
    <t>Open audit findings  [Month end]</t>
  </si>
  <si>
    <t>Overdue assurance actions  [Month end]</t>
  </si>
  <si>
    <t>Repeat audit findings  [Month end]</t>
  </si>
  <si>
    <t>Leadership KPIs affected by open findings  [Month end]</t>
  </si>
  <si>
    <t>Open reconciliation breaks  [Month end]</t>
  </si>
  <si>
    <t>Certifications overdue  [Month end]</t>
  </si>
  <si>
    <t>Material reconciliation breaks  [Month end]</t>
  </si>
  <si>
    <t>Evidence items complete ÷ Evidence items required × 100  [Month end]</t>
  </si>
  <si>
    <t>Days taken to close findings since April ÷ Findings closed since April  [Year to date]</t>
  </si>
  <si>
    <t>Leadership KPI values certified ÷ Leadership KPI values reported × 100  [Month end]</t>
  </si>
  <si>
    <t>Leadership KPI values reported − Values certified  [Month end]</t>
  </si>
  <si>
    <t>Leadership KPI values inside the certification process ÷ Values reported × 100  [Month end]</t>
  </si>
  <si>
    <t>Open critical alerts  [Month end]</t>
  </si>
  <si>
    <t>Alerts with no accepted owner  [Month end]</t>
  </si>
  <si>
    <t>Overdue actions  [Month end]</t>
  </si>
  <si>
    <t>Sum of repeat issues over the last 3 months  [Last 3 months]</t>
  </si>
  <si>
    <t>Root causes eliminated since April, of those identified since April  [Year to date]</t>
  </si>
  <si>
    <t>Customers more than 30 days overdue  [Month end]</t>
  </si>
  <si>
    <t>Lowest plant forecast of days until its production plan is breached (99 = not expected)  [Forecast]</t>
  </si>
  <si>
    <t>Chance that output falls below plan: normal distribution with mean = Forecast good output, spread = √(sum of plant forecast variances)  [Next month]</t>
  </si>
  <si>
    <t>(Forecast EBITDA − Planned EBITDA, rest of year) ÷ 1000  [Forecast]</t>
  </si>
  <si>
    <t>Cash + Undrawn facilities + Forecast net cash flow (90 days); 'None' if not negative  [Next 90 days]</t>
  </si>
  <si>
    <t>Breach forecast if Forecast net debt ÷ Forecast 12-month EBITDA exceeds the covenant limit  [Quarter end]</t>
  </si>
  <si>
    <t>Forecast production lost to downtime next month ÷ 1000  [Next month]</t>
  </si>
  <si>
    <t>Chance that Forecast good output &lt; 78% × Ideal output next month (same distribution as PRD-002)  [Next month]</t>
  </si>
  <si>
    <t>Group KPI model: how every Group-level KPI on the mockups is calculated, bottom up</t>
  </si>
  <si>
    <t>Group KPIs: one row per KPI, one column per month (Apr–Sep 2026 = P01–P06). Every value is a live formula; click a cell to see it.</t>
  </si>
  <si>
    <t>Group Inputs: each input is the sum of Entity A1 and Entity A2 (or the lowest, for days to permit expiry and days to breach). Blue columns are building blocks calculated from those inputs, such as EBITDA and net working capital.</t>
  </si>
  <si>
    <t>Entity Inputs: inputs that come from plants are the sum of the entity's 3 plants. Yellow inputs only exist at entity level (finance, cash, treasury, capex, programmes, contracts, controls, governance, data trust, workflow).</t>
  </si>
  <si>
    <t>Plant Inputs: the plant data. The first 40 input columns are plant_base.csv unchanged; the rest are added for sales, supply, regulatory and forecast KPIs.</t>
  </si>
  <si>
    <t>Parameters: tax rate, cost of capital, covenant limit and opening working capital used by some formulas.</t>
  </si>
  <si>
    <t>Rule: KPIs are always recalculated from the Group totals. They are never averages of entity or plant KPIs.</t>
  </si>
  <si>
    <t>All data is synthetic. Formulas are working assumptions until the KPI catalogue definitions are approved.</t>
  </si>
  <si>
    <t>Some IDs on the mockups measure the same thing and so show the same value: OPS-005 = OPS-003, OPS-006 = PLT-002, OPS-004 = OPS-002, PRG-004 = STR-002, RSK-003 = CMP-005 = REG-010.</t>
  </si>
</sst>
</file>

<file path=xl/styles.xml><?xml version="1.0" encoding="utf-8"?>
<styleSheet xmlns="http://schemas.openxmlformats.org/spreadsheetml/2006/main">
  <numFmts count="2">
    <numFmt numFmtId="164" formatCode="#,##0.00"/>
    <numFmt numFmtId="165" formatCode="#,##0.0"/>
  </numFmts>
  <fonts count="5">
    <font>
      <sz val="11"/>
      <color theme="1"/>
      <name val="Calibri"/>
      <family val="2"/>
      <scheme val="minor"/>
    </font>
    <font>
      <b/>
      <sz val="11"/>
      <color rgb="FFFFFFFF"/>
      <name val="Calibri"/>
      <family val="2"/>
      <scheme val="minor"/>
    </font>
    <font>
      <b/>
      <sz val="11"/>
      <color theme="1"/>
      <name val="Calibri"/>
      <family val="2"/>
      <scheme val="minor"/>
    </font>
    <font>
      <i/>
      <sz val="9"/>
      <color rgb="FF555555"/>
      <name val="Calibri"/>
      <family val="2"/>
      <scheme val="minor"/>
    </font>
    <font>
      <i/>
      <sz val="9"/>
      <color theme="1"/>
      <name val="Calibri"/>
      <family val="2"/>
      <scheme val="minor"/>
    </font>
  </fonts>
  <fills count="15">
    <fill>
      <patternFill patternType="none"/>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1">
    <xf numFmtId="0" fontId="0" fillId="0" borderId="0" xfId="0"/>
    <xf numFmtId="0" fontId="1" fillId="2" borderId="1" xfId="0" applyFont="1" applyFill="1" applyBorder="1" applyAlignment="1">
      <alignment vertical="top" wrapText="1"/>
    </xf>
    <xf numFmtId="0" fontId="2" fillId="0" borderId="1" xfId="0" applyFont="1" applyBorder="1" applyAlignment="1">
      <alignment vertical="top"/>
    </xf>
    <xf numFmtId="0" fontId="0" fillId="0" borderId="1" xfId="0" applyBorder="1" applyAlignment="1">
      <alignment vertical="top" wrapText="1"/>
    </xf>
    <xf numFmtId="164" fontId="0" fillId="3" borderId="1" xfId="0" applyNumberFormat="1" applyFill="1" applyBorder="1"/>
    <xf numFmtId="0" fontId="2" fillId="4" borderId="1" xfId="0" applyFont="1" applyFill="1" applyBorder="1"/>
    <xf numFmtId="0" fontId="0" fillId="5" borderId="1" xfId="0" applyFill="1" applyBorder="1"/>
    <xf numFmtId="0" fontId="2" fillId="6" borderId="1" xfId="0" applyFont="1" applyFill="1" applyBorder="1"/>
    <xf numFmtId="0" fontId="0" fillId="3" borderId="1" xfId="0" applyFill="1" applyBorder="1" applyAlignment="1">
      <alignment wrapText="1"/>
    </xf>
    <xf numFmtId="0" fontId="2" fillId="7" borderId="1" xfId="0" applyFont="1" applyFill="1" applyBorder="1" applyAlignment="1">
      <alignment vertical="top" wrapText="1"/>
    </xf>
    <xf numFmtId="0" fontId="1" fillId="8" borderId="1" xfId="0" applyFont="1" applyFill="1" applyBorder="1" applyAlignment="1">
      <alignment vertical="top" wrapText="1"/>
    </xf>
    <xf numFmtId="0" fontId="3" fillId="9" borderId="1" xfId="0" applyFont="1" applyFill="1" applyBorder="1"/>
    <xf numFmtId="0" fontId="4" fillId="9" borderId="1" xfId="0" applyFont="1" applyFill="1" applyBorder="1" applyAlignment="1">
      <alignment vertical="top" wrapText="1"/>
    </xf>
    <xf numFmtId="0" fontId="4" fillId="10" borderId="1" xfId="0" applyFont="1" applyFill="1" applyBorder="1" applyAlignment="1">
      <alignment vertical="top" wrapText="1"/>
    </xf>
    <xf numFmtId="0" fontId="0" fillId="11" borderId="0" xfId="0" applyFill="1"/>
    <xf numFmtId="164" fontId="0" fillId="12" borderId="0" xfId="0" applyNumberFormat="1" applyFill="1"/>
    <xf numFmtId="0" fontId="0" fillId="13" borderId="0" xfId="0" applyFill="1"/>
    <xf numFmtId="0" fontId="0" fillId="14" borderId="0" xfId="0" applyFill="1"/>
    <xf numFmtId="164" fontId="0" fillId="0" borderId="1" xfId="0" applyNumberFormat="1" applyBorder="1"/>
    <xf numFmtId="165" fontId="0" fillId="0" borderId="1" xfId="0" applyNumberFormat="1" applyBorder="1"/>
    <xf numFmtId="0" fontId="0" fillId="0" borderId="0" xfId="0" applyAlignment="1">
      <alignment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I15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0.7109375" customWidth="1"/>
    <col min="2" max="2" width="34.7109375" customWidth="1"/>
    <col min="3" max="3" width="11.7109375" customWidth="1"/>
    <col min="4" max="4" width="60.7109375" customWidth="1"/>
    <col min="5" max="5" width="15.7109375" customWidth="1"/>
    <col min="6" max="6" width="30.7109375" customWidth="1"/>
    <col min="7" max="7" width="12.7109375" customWidth="1"/>
    <col min="8" max="8" width="30.7109375" customWidth="1"/>
    <col min="9" max="9" width="36.7109375" customWidth="1"/>
  </cols>
  <sheetData>
    <row r="1" spans="1:9">
      <c r="A1" s="1" t="s">
        <v>431</v>
      </c>
      <c r="B1" s="1" t="s">
        <v>432</v>
      </c>
      <c r="C1" s="1" t="s">
        <v>433</v>
      </c>
      <c r="D1" s="1" t="s">
        <v>1118</v>
      </c>
      <c r="E1" s="1" t="s">
        <v>1119</v>
      </c>
      <c r="F1" s="1" t="s">
        <v>1120</v>
      </c>
      <c r="G1" s="1" t="s">
        <v>1121</v>
      </c>
      <c r="H1" s="1" t="s">
        <v>443</v>
      </c>
      <c r="I1" s="1" t="s">
        <v>1122</v>
      </c>
    </row>
    <row r="2" spans="1:9">
      <c r="A2" s="2" t="s">
        <v>445</v>
      </c>
      <c r="B2" s="3" t="s">
        <v>446</v>
      </c>
      <c r="C2" s="3" t="s">
        <v>447</v>
      </c>
      <c r="D2" s="3" t="s">
        <v>448</v>
      </c>
      <c r="E2" s="4">
        <f>'Group KPIs'!K2</f>
        <v>95.51</v>
      </c>
      <c r="F2" s="3" t="s">
        <v>449</v>
      </c>
      <c r="G2" s="5" t="s">
        <v>1123</v>
      </c>
      <c r="H2" s="3" t="s">
        <v>450</v>
      </c>
      <c r="I2" s="3" t="s">
        <v>1124</v>
      </c>
    </row>
    <row r="3" spans="1:9">
      <c r="A3" s="2" t="s">
        <v>452</v>
      </c>
      <c r="B3" s="3" t="s">
        <v>453</v>
      </c>
      <c r="C3" s="3" t="s">
        <v>447</v>
      </c>
      <c r="D3" s="3" t="s">
        <v>454</v>
      </c>
      <c r="E3" s="4">
        <f>'Group KPIs'!K3</f>
        <v>83.44</v>
      </c>
      <c r="F3" s="3" t="s">
        <v>455</v>
      </c>
      <c r="G3" s="5" t="s">
        <v>1123</v>
      </c>
      <c r="H3" s="3" t="s">
        <v>456</v>
      </c>
      <c r="I3" s="3" t="s">
        <v>1124</v>
      </c>
    </row>
    <row r="4" spans="1:9">
      <c r="A4" s="2" t="s">
        <v>458</v>
      </c>
      <c r="B4" s="3" t="s">
        <v>459</v>
      </c>
      <c r="C4" s="3" t="s">
        <v>447</v>
      </c>
      <c r="D4" s="3" t="s">
        <v>460</v>
      </c>
      <c r="E4" s="4">
        <f>'Group KPIs'!K4</f>
        <v>93.64</v>
      </c>
      <c r="F4" s="3" t="s">
        <v>461</v>
      </c>
      <c r="G4" s="6" t="s">
        <v>461</v>
      </c>
      <c r="H4" s="3"/>
      <c r="I4" s="3" t="s">
        <v>1124</v>
      </c>
    </row>
    <row r="5" spans="1:9">
      <c r="A5" s="2" t="s">
        <v>463</v>
      </c>
      <c r="B5" s="3" t="s">
        <v>464</v>
      </c>
      <c r="C5" s="3" t="s">
        <v>447</v>
      </c>
      <c r="D5" s="3" t="s">
        <v>465</v>
      </c>
      <c r="E5" s="4">
        <f>'Group KPIs'!K5</f>
        <v>84.07</v>
      </c>
      <c r="F5" s="3" t="s">
        <v>466</v>
      </c>
      <c r="G5" s="5" t="s">
        <v>1123</v>
      </c>
      <c r="H5" s="3" t="s">
        <v>467</v>
      </c>
      <c r="I5" s="3" t="s">
        <v>1124</v>
      </c>
    </row>
    <row r="6" spans="1:9">
      <c r="A6" s="2" t="s">
        <v>469</v>
      </c>
      <c r="B6" s="3" t="s">
        <v>470</v>
      </c>
      <c r="C6" s="3" t="s">
        <v>447</v>
      </c>
      <c r="D6" s="3" t="s">
        <v>471</v>
      </c>
      <c r="E6" s="4">
        <f>'Group KPIs'!K6</f>
        <v>87.35</v>
      </c>
      <c r="F6" s="3" t="s">
        <v>461</v>
      </c>
      <c r="G6" s="6" t="s">
        <v>461</v>
      </c>
      <c r="H6" s="3"/>
      <c r="I6" s="3" t="s">
        <v>1124</v>
      </c>
    </row>
    <row r="7" spans="1:9">
      <c r="A7" s="2" t="s">
        <v>473</v>
      </c>
      <c r="B7" s="3" t="s">
        <v>474</v>
      </c>
      <c r="C7" s="3" t="s">
        <v>447</v>
      </c>
      <c r="D7" s="3" t="s">
        <v>475</v>
      </c>
      <c r="E7" s="4">
        <f>'Group KPIs'!K7</f>
        <v>91.93</v>
      </c>
      <c r="F7" s="3" t="s">
        <v>461</v>
      </c>
      <c r="G7" s="6" t="s">
        <v>461</v>
      </c>
      <c r="H7" s="3"/>
      <c r="I7" s="3" t="s">
        <v>1124</v>
      </c>
    </row>
    <row r="8" spans="1:9">
      <c r="A8" s="2" t="s">
        <v>477</v>
      </c>
      <c r="B8" s="3" t="s">
        <v>478</v>
      </c>
      <c r="C8" s="3" t="s">
        <v>479</v>
      </c>
      <c r="D8" s="3" t="s">
        <v>480</v>
      </c>
      <c r="E8" s="4">
        <f>'Group KPIs'!K8</f>
        <v>269.69</v>
      </c>
      <c r="F8" s="3" t="s">
        <v>481</v>
      </c>
      <c r="G8" s="5" t="s">
        <v>1123</v>
      </c>
      <c r="H8" s="3" t="s">
        <v>482</v>
      </c>
      <c r="I8" s="3" t="s">
        <v>1124</v>
      </c>
    </row>
    <row r="9" spans="1:9">
      <c r="A9" s="2" t="s">
        <v>484</v>
      </c>
      <c r="B9" s="3" t="s">
        <v>485</v>
      </c>
      <c r="C9" s="3" t="s">
        <v>479</v>
      </c>
      <c r="D9" s="3" t="s">
        <v>486</v>
      </c>
      <c r="E9" s="4">
        <f>'Group KPIs'!K9</f>
        <v>7.83</v>
      </c>
      <c r="F9" s="3" t="s">
        <v>487</v>
      </c>
      <c r="G9" s="5" t="s">
        <v>1123</v>
      </c>
      <c r="H9" s="3" t="s">
        <v>482</v>
      </c>
      <c r="I9" s="3" t="s">
        <v>1124</v>
      </c>
    </row>
    <row r="10" spans="1:9">
      <c r="A10" s="2" t="s">
        <v>489</v>
      </c>
      <c r="B10" s="3" t="s">
        <v>490</v>
      </c>
      <c r="C10" s="3" t="s">
        <v>479</v>
      </c>
      <c r="D10" s="3" t="s">
        <v>490</v>
      </c>
      <c r="E10" s="4">
        <f>'Group KPIs'!K10</f>
        <v>154.4</v>
      </c>
      <c r="F10" s="3" t="s">
        <v>491</v>
      </c>
      <c r="G10" s="5" t="s">
        <v>1123</v>
      </c>
      <c r="H10" s="3" t="s">
        <v>482</v>
      </c>
      <c r="I10" s="3" t="s">
        <v>1124</v>
      </c>
    </row>
    <row r="11" spans="1:9">
      <c r="A11" s="2" t="s">
        <v>492</v>
      </c>
      <c r="B11" s="3" t="s">
        <v>493</v>
      </c>
      <c r="C11" s="3" t="s">
        <v>494</v>
      </c>
      <c r="D11" s="3" t="s">
        <v>495</v>
      </c>
      <c r="E11" s="4">
        <f>'Group KPIs'!K11</f>
        <v>27176.0</v>
      </c>
      <c r="F11" s="3" t="s">
        <v>496</v>
      </c>
      <c r="G11" s="5" t="s">
        <v>1123</v>
      </c>
      <c r="H11" s="3" t="s">
        <v>497</v>
      </c>
      <c r="I11" s="3" t="s">
        <v>1124</v>
      </c>
    </row>
    <row r="12" spans="1:9">
      <c r="A12" s="2" t="s">
        <v>498</v>
      </c>
      <c r="B12" s="3" t="s">
        <v>499</v>
      </c>
      <c r="C12" s="3" t="s">
        <v>447</v>
      </c>
      <c r="D12" s="3" t="s">
        <v>500</v>
      </c>
      <c r="E12" s="4">
        <f>'Group KPIs'!K12</f>
        <v>95.62</v>
      </c>
      <c r="F12" s="3" t="s">
        <v>496</v>
      </c>
      <c r="G12" s="5" t="s">
        <v>1123</v>
      </c>
      <c r="H12" s="3" t="s">
        <v>501</v>
      </c>
      <c r="I12" s="3" t="s">
        <v>1124</v>
      </c>
    </row>
    <row r="13" spans="1:9">
      <c r="A13" s="2" t="s">
        <v>503</v>
      </c>
      <c r="B13" s="3" t="s">
        <v>504</v>
      </c>
      <c r="C13" s="3" t="s">
        <v>505</v>
      </c>
      <c r="D13" s="3" t="s">
        <v>506</v>
      </c>
      <c r="E13" s="4">
        <f>'Group KPIs'!K13</f>
        <v>2933.74</v>
      </c>
      <c r="F13" s="3" t="s">
        <v>507</v>
      </c>
      <c r="G13" s="5" t="s">
        <v>1123</v>
      </c>
      <c r="H13" s="3" t="s">
        <v>508</v>
      </c>
      <c r="I13" s="3" t="s">
        <v>1124</v>
      </c>
    </row>
    <row r="14" spans="1:9">
      <c r="A14" s="2" t="s">
        <v>510</v>
      </c>
      <c r="B14" s="3" t="s">
        <v>511</v>
      </c>
      <c r="C14" s="3" t="s">
        <v>512</v>
      </c>
      <c r="D14" s="3" t="s">
        <v>511</v>
      </c>
      <c r="E14" s="4">
        <f>'Group KPIs'!K14</f>
        <v>1827824.8</v>
      </c>
      <c r="F14" s="3" t="s">
        <v>513</v>
      </c>
      <c r="G14" s="5" t="s">
        <v>1123</v>
      </c>
      <c r="H14" s="3" t="s">
        <v>514</v>
      </c>
      <c r="I14" s="3" t="s">
        <v>1124</v>
      </c>
    </row>
    <row r="15" spans="1:9">
      <c r="A15" s="2" t="s">
        <v>515</v>
      </c>
      <c r="B15" s="3" t="s">
        <v>516</v>
      </c>
      <c r="C15" s="3" t="s">
        <v>512</v>
      </c>
      <c r="D15" s="3" t="s">
        <v>516</v>
      </c>
      <c r="E15" s="4">
        <f>'Group KPIs'!K15</f>
        <v>459369.3</v>
      </c>
      <c r="F15" s="3" t="s">
        <v>517</v>
      </c>
      <c r="G15" s="5" t="s">
        <v>1123</v>
      </c>
      <c r="H15" s="3" t="s">
        <v>518</v>
      </c>
      <c r="I15" s="3" t="s">
        <v>1124</v>
      </c>
    </row>
    <row r="16" spans="1:9">
      <c r="A16" s="2" t="s">
        <v>519</v>
      </c>
      <c r="B16" s="3" t="s">
        <v>520</v>
      </c>
      <c r="C16" s="3" t="s">
        <v>521</v>
      </c>
      <c r="D16" s="3" t="s">
        <v>522</v>
      </c>
      <c r="E16" s="4">
        <f>'Group KPIs'!K16</f>
        <v>1450141.0</v>
      </c>
      <c r="F16" s="3" t="s">
        <v>523</v>
      </c>
      <c r="G16" s="5" t="s">
        <v>1123</v>
      </c>
      <c r="H16" s="3" t="s">
        <v>524</v>
      </c>
      <c r="I16" s="3" t="s">
        <v>1124</v>
      </c>
    </row>
    <row r="17" spans="1:9">
      <c r="A17" s="2" t="s">
        <v>525</v>
      </c>
      <c r="B17" s="3" t="s">
        <v>526</v>
      </c>
      <c r="C17" s="3" t="s">
        <v>527</v>
      </c>
      <c r="D17" s="3" t="s">
        <v>526</v>
      </c>
      <c r="E17" s="4">
        <f>'Group KPIs'!K17</f>
        <v>427664.0</v>
      </c>
      <c r="F17" s="3" t="s">
        <v>528</v>
      </c>
      <c r="G17" s="5" t="s">
        <v>1123</v>
      </c>
      <c r="H17" s="3" t="s">
        <v>524</v>
      </c>
      <c r="I17" s="3" t="s">
        <v>1124</v>
      </c>
    </row>
    <row r="18" spans="1:9">
      <c r="A18" s="2" t="s">
        <v>529</v>
      </c>
      <c r="B18" s="3" t="s">
        <v>530</v>
      </c>
      <c r="C18" s="3" t="s">
        <v>531</v>
      </c>
      <c r="D18" s="3" t="s">
        <v>532</v>
      </c>
      <c r="E18" s="4">
        <f>'Group KPIs'!K18</f>
        <v>3.42</v>
      </c>
      <c r="F18" s="3" t="s">
        <v>533</v>
      </c>
      <c r="G18" s="5" t="s">
        <v>1123</v>
      </c>
      <c r="H18" s="3" t="s">
        <v>524</v>
      </c>
      <c r="I18" s="3" t="s">
        <v>1124</v>
      </c>
    </row>
    <row r="19" spans="1:9">
      <c r="A19" s="2" t="s">
        <v>535</v>
      </c>
      <c r="B19" s="3" t="s">
        <v>536</v>
      </c>
      <c r="C19" s="3" t="s">
        <v>494</v>
      </c>
      <c r="D19" s="3" t="s">
        <v>536</v>
      </c>
      <c r="E19" s="4">
        <f>'Group KPIs'!K19</f>
        <v>36810.0</v>
      </c>
      <c r="F19" s="3" t="s">
        <v>461</v>
      </c>
      <c r="G19" s="6" t="s">
        <v>461</v>
      </c>
      <c r="H19" s="3"/>
      <c r="I19" s="3" t="s">
        <v>1124</v>
      </c>
    </row>
    <row r="20" spans="1:9">
      <c r="A20" s="2" t="s">
        <v>537</v>
      </c>
      <c r="B20" s="3" t="s">
        <v>538</v>
      </c>
      <c r="C20" s="3" t="s">
        <v>539</v>
      </c>
      <c r="D20" s="3" t="s">
        <v>540</v>
      </c>
      <c r="E20" s="4">
        <f>'Group KPIs'!K20</f>
        <v>7.0</v>
      </c>
      <c r="F20" s="3" t="s">
        <v>461</v>
      </c>
      <c r="G20" s="6" t="s">
        <v>461</v>
      </c>
      <c r="H20" s="3"/>
      <c r="I20" s="3" t="s">
        <v>1124</v>
      </c>
    </row>
    <row r="21" spans="1:9">
      <c r="A21" s="2" t="s">
        <v>541</v>
      </c>
      <c r="B21" s="3" t="s">
        <v>542</v>
      </c>
      <c r="C21" s="3" t="s">
        <v>539</v>
      </c>
      <c r="D21" s="3" t="s">
        <v>543</v>
      </c>
      <c r="E21" s="4">
        <f>'Group KPIs'!K21</f>
        <v>5.0</v>
      </c>
      <c r="F21" s="3" t="s">
        <v>544</v>
      </c>
      <c r="G21" s="5" t="s">
        <v>1123</v>
      </c>
      <c r="H21" s="3" t="s">
        <v>545</v>
      </c>
      <c r="I21" s="3" t="s">
        <v>1124</v>
      </c>
    </row>
    <row r="22" spans="1:9">
      <c r="A22" s="2" t="s">
        <v>546</v>
      </c>
      <c r="B22" s="3" t="s">
        <v>547</v>
      </c>
      <c r="C22" s="3" t="s">
        <v>447</v>
      </c>
      <c r="D22" s="3" t="s">
        <v>548</v>
      </c>
      <c r="E22" s="4">
        <f>'Group KPIs'!K22</f>
        <v>8.66</v>
      </c>
      <c r="F22" s="3" t="s">
        <v>549</v>
      </c>
      <c r="G22" s="5" t="s">
        <v>1123</v>
      </c>
      <c r="H22" s="3" t="s">
        <v>550</v>
      </c>
      <c r="I22" s="3" t="s">
        <v>1124</v>
      </c>
    </row>
    <row r="23" spans="1:9">
      <c r="A23" s="2" t="s">
        <v>552</v>
      </c>
      <c r="B23" s="3" t="s">
        <v>553</v>
      </c>
      <c r="C23" s="3" t="s">
        <v>539</v>
      </c>
      <c r="D23" s="3" t="s">
        <v>553</v>
      </c>
      <c r="E23" s="4">
        <f>'Group KPIs'!K23</f>
        <v>0.0</v>
      </c>
      <c r="F23" s="3" t="s">
        <v>461</v>
      </c>
      <c r="G23" s="6" t="s">
        <v>461</v>
      </c>
      <c r="H23" s="3"/>
      <c r="I23" s="3" t="s">
        <v>1124</v>
      </c>
    </row>
    <row r="24" spans="1:9">
      <c r="A24" s="2" t="s">
        <v>554</v>
      </c>
      <c r="B24" s="3" t="s">
        <v>555</v>
      </c>
      <c r="C24" s="3" t="s">
        <v>556</v>
      </c>
      <c r="D24" s="3" t="s">
        <v>557</v>
      </c>
      <c r="E24" s="4">
        <f>'Group KPIs'!K24</f>
        <v>0.47</v>
      </c>
      <c r="F24" s="3" t="s">
        <v>558</v>
      </c>
      <c r="G24" s="5" t="s">
        <v>1123</v>
      </c>
      <c r="H24" s="3" t="s">
        <v>559</v>
      </c>
      <c r="I24" s="3" t="s">
        <v>1124</v>
      </c>
    </row>
    <row r="25" spans="1:9">
      <c r="A25" s="2" t="s">
        <v>561</v>
      </c>
      <c r="B25" s="3" t="s">
        <v>562</v>
      </c>
      <c r="C25" s="3" t="s">
        <v>539</v>
      </c>
      <c r="D25" s="3" t="s">
        <v>562</v>
      </c>
      <c r="E25" s="4">
        <f>'Group KPIs'!K25</f>
        <v>3.0</v>
      </c>
      <c r="F25" s="3" t="s">
        <v>563</v>
      </c>
      <c r="G25" s="5" t="s">
        <v>1123</v>
      </c>
      <c r="H25" s="3" t="s">
        <v>564</v>
      </c>
      <c r="I25" s="3" t="s">
        <v>1124</v>
      </c>
    </row>
    <row r="26" spans="1:9">
      <c r="A26" s="2" t="s">
        <v>565</v>
      </c>
      <c r="B26" s="3" t="s">
        <v>566</v>
      </c>
      <c r="C26" s="3" t="s">
        <v>539</v>
      </c>
      <c r="D26" s="3" t="s">
        <v>566</v>
      </c>
      <c r="E26" s="4">
        <f>'Group KPIs'!K26</f>
        <v>41.0</v>
      </c>
      <c r="F26" s="3" t="s">
        <v>567</v>
      </c>
      <c r="G26" s="5" t="s">
        <v>1123</v>
      </c>
      <c r="H26" s="3" t="s">
        <v>559</v>
      </c>
      <c r="I26" s="3" t="s">
        <v>1124</v>
      </c>
    </row>
    <row r="27" spans="1:9">
      <c r="A27" s="2" t="s">
        <v>568</v>
      </c>
      <c r="B27" s="3" t="s">
        <v>569</v>
      </c>
      <c r="C27" s="3" t="s">
        <v>539</v>
      </c>
      <c r="D27" s="3" t="s">
        <v>569</v>
      </c>
      <c r="E27" s="4">
        <f>'Group KPIs'!K27</f>
        <v>0.0</v>
      </c>
      <c r="F27" s="3" t="s">
        <v>563</v>
      </c>
      <c r="G27" s="7" t="s">
        <v>1125</v>
      </c>
      <c r="H27" s="3" t="s">
        <v>559</v>
      </c>
      <c r="I27" s="3" t="s">
        <v>1124</v>
      </c>
    </row>
    <row r="28" spans="1:9">
      <c r="A28" s="2" t="s">
        <v>570</v>
      </c>
      <c r="B28" s="3" t="s">
        <v>571</v>
      </c>
      <c r="C28" s="3" t="s">
        <v>539</v>
      </c>
      <c r="D28" s="3" t="s">
        <v>571</v>
      </c>
      <c r="E28" s="4">
        <f>'Group KPIs'!K28</f>
        <v>2.0</v>
      </c>
      <c r="F28" s="3" t="s">
        <v>572</v>
      </c>
      <c r="G28" s="5" t="s">
        <v>1123</v>
      </c>
      <c r="H28" s="3" t="s">
        <v>559</v>
      </c>
      <c r="I28" s="3" t="s">
        <v>1124</v>
      </c>
    </row>
    <row r="29" spans="1:9">
      <c r="A29" s="2" t="s">
        <v>573</v>
      </c>
      <c r="B29" s="3" t="s">
        <v>574</v>
      </c>
      <c r="C29" s="3" t="s">
        <v>539</v>
      </c>
      <c r="D29" s="3" t="s">
        <v>574</v>
      </c>
      <c r="E29" s="4">
        <f>'Group KPIs'!K29</f>
        <v>45.0</v>
      </c>
      <c r="F29" s="3" t="s">
        <v>575</v>
      </c>
      <c r="G29" s="5" t="s">
        <v>1123</v>
      </c>
      <c r="H29" s="3" t="s">
        <v>576</v>
      </c>
      <c r="I29" s="3" t="s">
        <v>1124</v>
      </c>
    </row>
    <row r="30" spans="1:9">
      <c r="A30" s="2" t="s">
        <v>577</v>
      </c>
      <c r="B30" s="3" t="s">
        <v>578</v>
      </c>
      <c r="C30" s="3" t="s">
        <v>539</v>
      </c>
      <c r="D30" s="3" t="s">
        <v>579</v>
      </c>
      <c r="E30" s="4">
        <f>'Group KPIs'!K30</f>
        <v>9.0</v>
      </c>
      <c r="F30" s="3" t="s">
        <v>563</v>
      </c>
      <c r="G30" s="5" t="s">
        <v>1123</v>
      </c>
      <c r="H30" s="3" t="s">
        <v>559</v>
      </c>
      <c r="I30" s="3" t="s">
        <v>1124</v>
      </c>
    </row>
    <row r="31" spans="1:9">
      <c r="A31" s="2" t="s">
        <v>580</v>
      </c>
      <c r="B31" s="3" t="s">
        <v>581</v>
      </c>
      <c r="C31" s="3" t="s">
        <v>447</v>
      </c>
      <c r="D31" s="3" t="s">
        <v>582</v>
      </c>
      <c r="E31" s="4">
        <f>'Group KPIs'!K31</f>
        <v>75.0</v>
      </c>
      <c r="F31" s="3" t="s">
        <v>583</v>
      </c>
      <c r="G31" s="5" t="s">
        <v>1123</v>
      </c>
      <c r="H31" s="3" t="s">
        <v>576</v>
      </c>
      <c r="I31" s="3" t="s">
        <v>1124</v>
      </c>
    </row>
    <row r="32" spans="1:9">
      <c r="A32" s="2" t="s">
        <v>585</v>
      </c>
      <c r="B32" s="3" t="s">
        <v>586</v>
      </c>
      <c r="C32" s="3" t="s">
        <v>185</v>
      </c>
      <c r="D32" s="3" t="s">
        <v>587</v>
      </c>
      <c r="E32" s="4">
        <f>'Group KPIs'!K32</f>
        <v>65.0</v>
      </c>
      <c r="F32" s="3" t="s">
        <v>588</v>
      </c>
      <c r="G32" s="5" t="s">
        <v>1123</v>
      </c>
      <c r="H32" s="3" t="s">
        <v>589</v>
      </c>
      <c r="I32" s="3" t="s">
        <v>1124</v>
      </c>
    </row>
    <row r="33" spans="1:9">
      <c r="A33" s="2" t="s">
        <v>590</v>
      </c>
      <c r="B33" s="3" t="s">
        <v>591</v>
      </c>
      <c r="C33" s="3" t="s">
        <v>447</v>
      </c>
      <c r="D33" s="3" t="s">
        <v>454</v>
      </c>
      <c r="E33" s="4">
        <f>'Group KPIs'!K33</f>
        <v>83.44</v>
      </c>
      <c r="F33" s="3" t="s">
        <v>455</v>
      </c>
      <c r="G33" s="5" t="s">
        <v>1123</v>
      </c>
      <c r="H33" s="3" t="s">
        <v>592</v>
      </c>
      <c r="I33" s="3" t="s">
        <v>1124</v>
      </c>
    </row>
    <row r="34" spans="1:9">
      <c r="A34" s="2" t="s">
        <v>593</v>
      </c>
      <c r="B34" s="3" t="s">
        <v>594</v>
      </c>
      <c r="C34" s="3" t="s">
        <v>447</v>
      </c>
      <c r="D34" s="3" t="s">
        <v>595</v>
      </c>
      <c r="E34" s="4">
        <f>'Group KPIs'!K34</f>
        <v>84.07</v>
      </c>
      <c r="F34" s="3" t="s">
        <v>596</v>
      </c>
      <c r="G34" s="5" t="s">
        <v>1123</v>
      </c>
      <c r="H34" s="3" t="s">
        <v>597</v>
      </c>
      <c r="I34" s="3" t="s">
        <v>1124</v>
      </c>
    </row>
    <row r="35" spans="1:9">
      <c r="A35" s="2" t="s">
        <v>598</v>
      </c>
      <c r="B35" s="3" t="s">
        <v>599</v>
      </c>
      <c r="C35" s="3" t="s">
        <v>447</v>
      </c>
      <c r="D35" s="3" t="s">
        <v>600</v>
      </c>
      <c r="E35" s="4">
        <f>'Group KPIs'!K35</f>
        <v>95.23</v>
      </c>
      <c r="F35" s="3" t="s">
        <v>601</v>
      </c>
      <c r="G35" s="5" t="s">
        <v>1123</v>
      </c>
      <c r="H35" s="3" t="s">
        <v>602</v>
      </c>
      <c r="I35" s="3" t="s">
        <v>1126</v>
      </c>
    </row>
    <row r="36" spans="1:9">
      <c r="A36" s="2" t="s">
        <v>604</v>
      </c>
      <c r="B36" s="3" t="s">
        <v>605</v>
      </c>
      <c r="C36" s="3" t="s">
        <v>447</v>
      </c>
      <c r="D36" s="3" t="s">
        <v>600</v>
      </c>
      <c r="E36" s="4">
        <f>'Group KPIs'!K36</f>
        <v>95.23</v>
      </c>
      <c r="F36" s="3" t="s">
        <v>601</v>
      </c>
      <c r="G36" s="5" t="s">
        <v>1123</v>
      </c>
      <c r="H36" s="3" t="s">
        <v>606</v>
      </c>
      <c r="I36" s="3" t="s">
        <v>1126</v>
      </c>
    </row>
    <row r="37" spans="1:9">
      <c r="A37" s="2" t="s">
        <v>607</v>
      </c>
      <c r="B37" s="3" t="s">
        <v>608</v>
      </c>
      <c r="C37" s="3" t="s">
        <v>505</v>
      </c>
      <c r="D37" s="3" t="s">
        <v>609</v>
      </c>
      <c r="E37" s="4">
        <f>'Group KPIs'!K37</f>
        <v>174.29</v>
      </c>
      <c r="F37" s="3" t="s">
        <v>610</v>
      </c>
      <c r="G37" s="5" t="s">
        <v>1123</v>
      </c>
      <c r="H37" s="3" t="s">
        <v>597</v>
      </c>
      <c r="I37" s="3" t="s">
        <v>1127</v>
      </c>
    </row>
    <row r="38" spans="1:9">
      <c r="A38" s="2" t="s">
        <v>612</v>
      </c>
      <c r="B38" s="3" t="s">
        <v>613</v>
      </c>
      <c r="C38" s="3" t="s">
        <v>614</v>
      </c>
      <c r="D38" s="3" t="s">
        <v>1128</v>
      </c>
      <c r="E38" s="4">
        <f>'Group KPIs'!K38</f>
        <v>1760.09</v>
      </c>
      <c r="F38" s="3" t="s">
        <v>617</v>
      </c>
      <c r="G38" s="5" t="s">
        <v>1123</v>
      </c>
      <c r="H38" s="3" t="s">
        <v>618</v>
      </c>
      <c r="I38" s="3" t="s">
        <v>1127</v>
      </c>
    </row>
    <row r="39" spans="1:9">
      <c r="A39" s="2" t="s">
        <v>619</v>
      </c>
      <c r="B39" s="3" t="s">
        <v>620</v>
      </c>
      <c r="C39" s="3" t="s">
        <v>614</v>
      </c>
      <c r="D39" s="3" t="s">
        <v>1129</v>
      </c>
      <c r="E39" s="4">
        <f>'Group KPIs'!K39</f>
        <v>1228.14</v>
      </c>
      <c r="F39" s="3" t="s">
        <v>622</v>
      </c>
      <c r="G39" s="5" t="s">
        <v>1123</v>
      </c>
      <c r="H39" s="3" t="s">
        <v>623</v>
      </c>
      <c r="I39" s="3" t="s">
        <v>1127</v>
      </c>
    </row>
    <row r="40" spans="1:9">
      <c r="A40" s="2" t="s">
        <v>624</v>
      </c>
      <c r="B40" s="3" t="s">
        <v>625</v>
      </c>
      <c r="C40" s="3" t="s">
        <v>614</v>
      </c>
      <c r="D40" s="3" t="s">
        <v>1130</v>
      </c>
      <c r="E40" s="4">
        <f>'Group KPIs'!K40</f>
        <v>13811.3</v>
      </c>
      <c r="F40" s="3" t="s">
        <v>627</v>
      </c>
      <c r="G40" s="5" t="s">
        <v>1123</v>
      </c>
      <c r="H40" s="3" t="s">
        <v>618</v>
      </c>
      <c r="I40" s="3" t="s">
        <v>1126</v>
      </c>
    </row>
    <row r="41" spans="1:9">
      <c r="A41" s="2" t="s">
        <v>628</v>
      </c>
      <c r="B41" s="3" t="s">
        <v>629</v>
      </c>
      <c r="C41" s="3" t="s">
        <v>614</v>
      </c>
      <c r="D41" s="3" t="s">
        <v>1131</v>
      </c>
      <c r="E41" s="4">
        <f>'Group KPIs'!K41</f>
        <v>606.18</v>
      </c>
      <c r="F41" s="3" t="s">
        <v>631</v>
      </c>
      <c r="G41" s="5" t="s">
        <v>1123</v>
      </c>
      <c r="H41" s="3" t="s">
        <v>632</v>
      </c>
      <c r="I41" s="3" t="s">
        <v>1127</v>
      </c>
    </row>
    <row r="42" spans="1:9">
      <c r="A42" s="2" t="s">
        <v>633</v>
      </c>
      <c r="B42" s="3" t="s">
        <v>634</v>
      </c>
      <c r="C42" s="3" t="s">
        <v>447</v>
      </c>
      <c r="D42" s="3" t="s">
        <v>1132</v>
      </c>
      <c r="E42" s="4">
        <f>'Group KPIs'!K42</f>
        <v>11.58</v>
      </c>
      <c r="F42" s="3" t="s">
        <v>636</v>
      </c>
      <c r="G42" s="5" t="s">
        <v>1123</v>
      </c>
      <c r="H42" s="3" t="s">
        <v>623</v>
      </c>
      <c r="I42" s="3" t="s">
        <v>1127</v>
      </c>
    </row>
    <row r="43" spans="1:9">
      <c r="A43" s="2" t="s">
        <v>638</v>
      </c>
      <c r="B43" s="3" t="s">
        <v>639</v>
      </c>
      <c r="C43" s="3" t="s">
        <v>614</v>
      </c>
      <c r="D43" s="3" t="s">
        <v>1133</v>
      </c>
      <c r="E43" s="4">
        <f>'Group KPIs'!K43</f>
        <v>6650.0</v>
      </c>
      <c r="F43" s="3" t="s">
        <v>642</v>
      </c>
      <c r="G43" s="5" t="s">
        <v>1123</v>
      </c>
      <c r="H43" s="3" t="s">
        <v>643</v>
      </c>
      <c r="I43" s="3" t="s">
        <v>1126</v>
      </c>
    </row>
    <row r="44" spans="1:9">
      <c r="A44" s="2" t="s">
        <v>644</v>
      </c>
      <c r="B44" s="3" t="s">
        <v>645</v>
      </c>
      <c r="C44" s="3" t="s">
        <v>614</v>
      </c>
      <c r="D44" s="3" t="s">
        <v>1134</v>
      </c>
      <c r="E44" s="4">
        <f>'Group KPIs'!K44</f>
        <v>-86.65</v>
      </c>
      <c r="F44" s="3" t="s">
        <v>647</v>
      </c>
      <c r="G44" s="5" t="s">
        <v>1123</v>
      </c>
      <c r="H44" s="3" t="s">
        <v>648</v>
      </c>
      <c r="I44" s="3" t="s">
        <v>1127</v>
      </c>
    </row>
    <row r="45" spans="1:9">
      <c r="A45" s="2" t="s">
        <v>649</v>
      </c>
      <c r="B45" s="3" t="s">
        <v>650</v>
      </c>
      <c r="C45" s="3" t="s">
        <v>447</v>
      </c>
      <c r="D45" s="3" t="s">
        <v>1135</v>
      </c>
      <c r="E45" s="4">
        <f>'Group KPIs'!K45</f>
        <v>34.44</v>
      </c>
      <c r="F45" s="3" t="s">
        <v>652</v>
      </c>
      <c r="G45" s="5" t="s">
        <v>1123</v>
      </c>
      <c r="H45" s="3" t="s">
        <v>653</v>
      </c>
      <c r="I45" s="3" t="s">
        <v>1127</v>
      </c>
    </row>
    <row r="46" spans="1:9">
      <c r="A46" s="2" t="s">
        <v>655</v>
      </c>
      <c r="B46" s="3" t="s">
        <v>656</v>
      </c>
      <c r="C46" s="3" t="s">
        <v>614</v>
      </c>
      <c r="D46" s="3" t="s">
        <v>1136</v>
      </c>
      <c r="E46" s="4">
        <f>'Group KPIs'!K46</f>
        <v>2141.82</v>
      </c>
      <c r="F46" s="3" t="s">
        <v>658</v>
      </c>
      <c r="G46" s="5" t="s">
        <v>1123</v>
      </c>
      <c r="H46" s="3" t="s">
        <v>659</v>
      </c>
      <c r="I46" s="3" t="s">
        <v>1126</v>
      </c>
    </row>
    <row r="47" spans="1:9">
      <c r="A47" s="2" t="s">
        <v>660</v>
      </c>
      <c r="B47" s="3" t="s">
        <v>661</v>
      </c>
      <c r="C47" s="3" t="s">
        <v>614</v>
      </c>
      <c r="D47" s="3" t="s">
        <v>1137</v>
      </c>
      <c r="E47" s="4">
        <f>'Group KPIs'!K47</f>
        <v>22.03</v>
      </c>
      <c r="F47" s="3" t="s">
        <v>663</v>
      </c>
      <c r="G47" s="5" t="s">
        <v>1123</v>
      </c>
      <c r="H47" s="3" t="s">
        <v>659</v>
      </c>
      <c r="I47" s="3" t="s">
        <v>1126</v>
      </c>
    </row>
    <row r="48" spans="1:9">
      <c r="A48" s="2" t="s">
        <v>664</v>
      </c>
      <c r="B48" s="3" t="s">
        <v>665</v>
      </c>
      <c r="C48" s="3" t="s">
        <v>666</v>
      </c>
      <c r="D48" s="3" t="s">
        <v>667</v>
      </c>
      <c r="E48" s="4">
        <f>'Group KPIs'!K48</f>
        <v>76.77</v>
      </c>
      <c r="F48" s="3" t="s">
        <v>668</v>
      </c>
      <c r="G48" s="5" t="s">
        <v>1123</v>
      </c>
      <c r="H48" s="3" t="s">
        <v>669</v>
      </c>
      <c r="I48" s="3" t="s">
        <v>1126</v>
      </c>
    </row>
    <row r="49" spans="1:9">
      <c r="A49" s="2" t="s">
        <v>671</v>
      </c>
      <c r="B49" s="3" t="s">
        <v>672</v>
      </c>
      <c r="C49" s="3" t="s">
        <v>185</v>
      </c>
      <c r="D49" s="3" t="s">
        <v>1138</v>
      </c>
      <c r="E49" s="4">
        <f>'Group KPIs'!K49</f>
        <v>32.59</v>
      </c>
      <c r="F49" s="3" t="s">
        <v>674</v>
      </c>
      <c r="G49" s="7" t="s">
        <v>1125</v>
      </c>
      <c r="H49" s="3" t="s">
        <v>659</v>
      </c>
      <c r="I49" s="3" t="s">
        <v>1127</v>
      </c>
    </row>
    <row r="50" spans="1:9">
      <c r="A50" s="2" t="s">
        <v>676</v>
      </c>
      <c r="B50" s="3" t="s">
        <v>677</v>
      </c>
      <c r="C50" s="3" t="s">
        <v>614</v>
      </c>
      <c r="D50" s="3" t="s">
        <v>1139</v>
      </c>
      <c r="E50" s="4">
        <f>'Group KPIs'!K50</f>
        <v>27.21</v>
      </c>
      <c r="F50" s="3" t="s">
        <v>680</v>
      </c>
      <c r="G50" s="5" t="s">
        <v>1123</v>
      </c>
      <c r="H50" s="3" t="s">
        <v>669</v>
      </c>
      <c r="I50" s="3" t="s">
        <v>1126</v>
      </c>
    </row>
    <row r="51" spans="1:9">
      <c r="A51" s="2" t="s">
        <v>682</v>
      </c>
      <c r="B51" s="3" t="s">
        <v>683</v>
      </c>
      <c r="C51" s="3" t="s">
        <v>185</v>
      </c>
      <c r="D51" s="3" t="s">
        <v>1140</v>
      </c>
      <c r="E51" s="4">
        <f>'Group KPIs'!K51</f>
        <v>46.97</v>
      </c>
      <c r="F51" s="3" t="s">
        <v>685</v>
      </c>
      <c r="G51" s="7" t="s">
        <v>1125</v>
      </c>
      <c r="H51" s="3" t="s">
        <v>686</v>
      </c>
      <c r="I51" s="3" t="s">
        <v>1126</v>
      </c>
    </row>
    <row r="52" spans="1:9">
      <c r="A52" s="2" t="s">
        <v>687</v>
      </c>
      <c r="B52" s="3" t="s">
        <v>688</v>
      </c>
      <c r="C52" s="3" t="s">
        <v>185</v>
      </c>
      <c r="D52" s="3" t="s">
        <v>1141</v>
      </c>
      <c r="E52" s="4">
        <f>'Group KPIs'!K52</f>
        <v>52.15</v>
      </c>
      <c r="F52" s="3" t="s">
        <v>690</v>
      </c>
      <c r="G52" s="7" t="s">
        <v>1125</v>
      </c>
      <c r="H52" s="3" t="s">
        <v>659</v>
      </c>
      <c r="I52" s="3" t="s">
        <v>1127</v>
      </c>
    </row>
    <row r="53" spans="1:9">
      <c r="A53" s="2" t="s">
        <v>691</v>
      </c>
      <c r="B53" s="3" t="s">
        <v>692</v>
      </c>
      <c r="C53" s="3" t="s">
        <v>185</v>
      </c>
      <c r="D53" s="3" t="s">
        <v>1142</v>
      </c>
      <c r="E53" s="4">
        <f>'Group KPIs'!K53</f>
        <v>37.76</v>
      </c>
      <c r="F53" s="3" t="s">
        <v>694</v>
      </c>
      <c r="G53" s="7" t="s">
        <v>1125</v>
      </c>
      <c r="H53" s="3" t="s">
        <v>659</v>
      </c>
      <c r="I53" s="3" t="s">
        <v>1127</v>
      </c>
    </row>
    <row r="54" spans="1:9">
      <c r="A54" s="2" t="s">
        <v>695</v>
      </c>
      <c r="B54" s="3" t="s">
        <v>696</v>
      </c>
      <c r="C54" s="3" t="s">
        <v>614</v>
      </c>
      <c r="D54" s="3" t="s">
        <v>1143</v>
      </c>
      <c r="E54" s="4">
        <f>'Group KPIs'!K54</f>
        <v>2780.99</v>
      </c>
      <c r="F54" s="3" t="s">
        <v>698</v>
      </c>
      <c r="G54" s="5" t="s">
        <v>1123</v>
      </c>
      <c r="H54" s="3" t="s">
        <v>659</v>
      </c>
      <c r="I54" s="3" t="s">
        <v>1126</v>
      </c>
    </row>
    <row r="55" spans="1:9">
      <c r="A55" s="2" t="s">
        <v>699</v>
      </c>
      <c r="B55" s="3" t="s">
        <v>700</v>
      </c>
      <c r="C55" s="3" t="s">
        <v>614</v>
      </c>
      <c r="D55" s="3" t="s">
        <v>701</v>
      </c>
      <c r="E55" s="4">
        <f>'Group KPIs'!K55</f>
        <v>17.26</v>
      </c>
      <c r="F55" s="3" t="s">
        <v>702</v>
      </c>
      <c r="G55" s="5" t="s">
        <v>1123</v>
      </c>
      <c r="H55" s="3" t="s">
        <v>659</v>
      </c>
      <c r="I55" s="3" t="s">
        <v>1126</v>
      </c>
    </row>
    <row r="56" spans="1:9">
      <c r="A56" s="2" t="s">
        <v>703</v>
      </c>
      <c r="B56" s="3" t="s">
        <v>704</v>
      </c>
      <c r="C56" s="3" t="s">
        <v>185</v>
      </c>
      <c r="D56" s="3" t="s">
        <v>1144</v>
      </c>
      <c r="E56" s="4">
        <f>'Group KPIs'!K56</f>
        <v>35.72</v>
      </c>
      <c r="F56" s="3" t="s">
        <v>706</v>
      </c>
      <c r="G56" s="5" t="s">
        <v>1123</v>
      </c>
      <c r="H56" s="3" t="s">
        <v>659</v>
      </c>
      <c r="I56" s="3" t="s">
        <v>1126</v>
      </c>
    </row>
    <row r="57" spans="1:9">
      <c r="A57" s="2" t="s">
        <v>708</v>
      </c>
      <c r="B57" s="3" t="s">
        <v>709</v>
      </c>
      <c r="C57" s="3" t="s">
        <v>710</v>
      </c>
      <c r="D57" s="3" t="s">
        <v>1145</v>
      </c>
      <c r="E57" s="4">
        <f>'Group KPIs'!K57</f>
        <v>16.71</v>
      </c>
      <c r="F57" s="3" t="s">
        <v>712</v>
      </c>
      <c r="G57" s="5" t="s">
        <v>1123</v>
      </c>
      <c r="H57" s="3" t="s">
        <v>659</v>
      </c>
      <c r="I57" s="3" t="s">
        <v>1127</v>
      </c>
    </row>
    <row r="58" spans="1:9">
      <c r="A58" s="2" t="s">
        <v>714</v>
      </c>
      <c r="B58" s="3" t="s">
        <v>715</v>
      </c>
      <c r="C58" s="3" t="s">
        <v>447</v>
      </c>
      <c r="D58" s="3" t="s">
        <v>1146</v>
      </c>
      <c r="E58" s="4">
        <f>'Group KPIs'!K58</f>
        <v>24.44</v>
      </c>
      <c r="F58" s="3" t="s">
        <v>717</v>
      </c>
      <c r="G58" s="5" t="s">
        <v>1123</v>
      </c>
      <c r="H58" s="3" t="s">
        <v>659</v>
      </c>
      <c r="I58" s="3" t="s">
        <v>1127</v>
      </c>
    </row>
    <row r="59" spans="1:9">
      <c r="A59" s="2" t="s">
        <v>719</v>
      </c>
      <c r="B59" s="3" t="s">
        <v>720</v>
      </c>
      <c r="C59" s="3" t="s">
        <v>614</v>
      </c>
      <c r="D59" s="3" t="s">
        <v>1147</v>
      </c>
      <c r="E59" s="4">
        <f>'Group KPIs'!K59</f>
        <v>891.41</v>
      </c>
      <c r="F59" s="3" t="s">
        <v>722</v>
      </c>
      <c r="G59" s="5" t="s">
        <v>1123</v>
      </c>
      <c r="H59" s="3" t="s">
        <v>659</v>
      </c>
      <c r="I59" s="3" t="s">
        <v>1126</v>
      </c>
    </row>
    <row r="60" spans="1:9">
      <c r="A60" s="2" t="s">
        <v>723</v>
      </c>
      <c r="B60" s="3" t="s">
        <v>724</v>
      </c>
      <c r="C60" s="3" t="s">
        <v>614</v>
      </c>
      <c r="D60" s="3" t="s">
        <v>1148</v>
      </c>
      <c r="E60" s="4">
        <f>'Group KPIs'!K60</f>
        <v>2720.83</v>
      </c>
      <c r="F60" s="3" t="s">
        <v>726</v>
      </c>
      <c r="G60" s="5" t="s">
        <v>1123</v>
      </c>
      <c r="H60" s="3" t="s">
        <v>727</v>
      </c>
      <c r="I60" s="3" t="s">
        <v>1126</v>
      </c>
    </row>
    <row r="61" spans="1:9">
      <c r="A61" s="2" t="s">
        <v>728</v>
      </c>
      <c r="B61" s="3" t="s">
        <v>729</v>
      </c>
      <c r="C61" s="3" t="s">
        <v>614</v>
      </c>
      <c r="D61" s="3" t="s">
        <v>1149</v>
      </c>
      <c r="E61" s="4">
        <f>'Group KPIs'!K61</f>
        <v>221.72</v>
      </c>
      <c r="F61" s="3" t="s">
        <v>731</v>
      </c>
      <c r="G61" s="5" t="s">
        <v>1123</v>
      </c>
      <c r="H61" s="3" t="s">
        <v>659</v>
      </c>
      <c r="I61" s="3" t="s">
        <v>1126</v>
      </c>
    </row>
    <row r="62" spans="1:9">
      <c r="A62" s="2" t="s">
        <v>733</v>
      </c>
      <c r="B62" s="3" t="s">
        <v>734</v>
      </c>
      <c r="C62" s="3" t="s">
        <v>447</v>
      </c>
      <c r="D62" s="3" t="s">
        <v>735</v>
      </c>
      <c r="E62" s="4">
        <f>'Group KPIs'!K62</f>
        <v>91.7</v>
      </c>
      <c r="F62" s="3" t="s">
        <v>736</v>
      </c>
      <c r="G62" s="5" t="s">
        <v>1123</v>
      </c>
      <c r="H62" s="3" t="s">
        <v>659</v>
      </c>
      <c r="I62" s="3" t="s">
        <v>1126</v>
      </c>
    </row>
    <row r="63" spans="1:9">
      <c r="A63" s="2" t="s">
        <v>738</v>
      </c>
      <c r="B63" s="3" t="s">
        <v>739</v>
      </c>
      <c r="C63" s="3" t="s">
        <v>447</v>
      </c>
      <c r="D63" s="3" t="s">
        <v>1150</v>
      </c>
      <c r="E63" s="4">
        <f>'Group KPIs'!K63</f>
        <v>75.83</v>
      </c>
      <c r="F63" s="3" t="s">
        <v>741</v>
      </c>
      <c r="G63" s="5" t="s">
        <v>1123</v>
      </c>
      <c r="H63" s="3" t="s">
        <v>742</v>
      </c>
      <c r="I63" s="3" t="s">
        <v>1126</v>
      </c>
    </row>
    <row r="64" spans="1:9">
      <c r="A64" s="2" t="s">
        <v>744</v>
      </c>
      <c r="B64" s="3" t="s">
        <v>745</v>
      </c>
      <c r="C64" s="3" t="s">
        <v>447</v>
      </c>
      <c r="D64" s="3" t="s">
        <v>1151</v>
      </c>
      <c r="E64" s="4">
        <f>'Group KPIs'!K64</f>
        <v>70.65</v>
      </c>
      <c r="F64" s="3" t="s">
        <v>748</v>
      </c>
      <c r="G64" s="5" t="s">
        <v>1123</v>
      </c>
      <c r="H64" s="3" t="s">
        <v>659</v>
      </c>
      <c r="I64" s="3" t="s">
        <v>1126</v>
      </c>
    </row>
    <row r="65" spans="1:9">
      <c r="A65" s="2" t="s">
        <v>750</v>
      </c>
      <c r="B65" s="3" t="s">
        <v>751</v>
      </c>
      <c r="C65" s="3" t="s">
        <v>614</v>
      </c>
      <c r="D65" s="3" t="s">
        <v>1152</v>
      </c>
      <c r="E65" s="4">
        <f>'Group KPIs'!K65</f>
        <v>8.41</v>
      </c>
      <c r="F65" s="3" t="s">
        <v>753</v>
      </c>
      <c r="G65" s="5" t="s">
        <v>1123</v>
      </c>
      <c r="H65" s="3" t="s">
        <v>742</v>
      </c>
      <c r="I65" s="3" t="s">
        <v>1126</v>
      </c>
    </row>
    <row r="66" spans="1:9">
      <c r="A66" s="2" t="s">
        <v>755</v>
      </c>
      <c r="B66" s="3" t="s">
        <v>756</v>
      </c>
      <c r="C66" s="3" t="s">
        <v>614</v>
      </c>
      <c r="D66" s="3" t="s">
        <v>1153</v>
      </c>
      <c r="E66" s="4">
        <f>'Group KPIs'!K66</f>
        <v>1860.0</v>
      </c>
      <c r="F66" s="3" t="s">
        <v>759</v>
      </c>
      <c r="G66" s="5" t="s">
        <v>1123</v>
      </c>
      <c r="H66" s="3" t="s">
        <v>760</v>
      </c>
      <c r="I66" s="3" t="s">
        <v>1126</v>
      </c>
    </row>
    <row r="67" spans="1:9">
      <c r="A67" s="2" t="s">
        <v>761</v>
      </c>
      <c r="B67" s="3" t="s">
        <v>762</v>
      </c>
      <c r="C67" s="3" t="s">
        <v>614</v>
      </c>
      <c r="D67" s="3" t="s">
        <v>1154</v>
      </c>
      <c r="E67" s="4">
        <f>'Group KPIs'!K67</f>
        <v>1347.73</v>
      </c>
      <c r="F67" s="3" t="s">
        <v>765</v>
      </c>
      <c r="G67" s="5" t="s">
        <v>1123</v>
      </c>
      <c r="H67" s="3" t="s">
        <v>760</v>
      </c>
      <c r="I67" s="3" t="s">
        <v>1126</v>
      </c>
    </row>
    <row r="68" spans="1:9">
      <c r="A68" s="2" t="s">
        <v>766</v>
      </c>
      <c r="B68" s="3" t="s">
        <v>767</v>
      </c>
      <c r="C68" s="3" t="s">
        <v>614</v>
      </c>
      <c r="D68" s="3" t="s">
        <v>1155</v>
      </c>
      <c r="E68" s="4">
        <f>'Group KPIs'!K68</f>
        <v>879.71</v>
      </c>
      <c r="F68" s="3" t="s">
        <v>769</v>
      </c>
      <c r="G68" s="5" t="s">
        <v>1123</v>
      </c>
      <c r="H68" s="3" t="s">
        <v>760</v>
      </c>
      <c r="I68" s="3" t="s">
        <v>1126</v>
      </c>
    </row>
    <row r="69" spans="1:9">
      <c r="A69" s="2" t="s">
        <v>770</v>
      </c>
      <c r="B69" s="3" t="s">
        <v>771</v>
      </c>
      <c r="C69" s="3" t="s">
        <v>447</v>
      </c>
      <c r="D69" s="3" t="s">
        <v>1156</v>
      </c>
      <c r="E69" s="4">
        <f>'Group KPIs'!K69</f>
        <v>60.85</v>
      </c>
      <c r="F69" s="3" t="s">
        <v>773</v>
      </c>
      <c r="G69" s="7" t="s">
        <v>1125</v>
      </c>
      <c r="H69" s="3" t="s">
        <v>774</v>
      </c>
      <c r="I69" s="3" t="s">
        <v>1126</v>
      </c>
    </row>
    <row r="70" spans="1:9">
      <c r="A70" s="2" t="s">
        <v>776</v>
      </c>
      <c r="B70" s="3" t="s">
        <v>777</v>
      </c>
      <c r="C70" s="3" t="s">
        <v>614</v>
      </c>
      <c r="D70" s="3" t="s">
        <v>1157</v>
      </c>
      <c r="E70" s="4">
        <f>'Group KPIs'!K70</f>
        <v>148.03</v>
      </c>
      <c r="F70" s="3" t="s">
        <v>779</v>
      </c>
      <c r="G70" s="5" t="s">
        <v>1123</v>
      </c>
      <c r="H70" s="3" t="s">
        <v>760</v>
      </c>
      <c r="I70" s="3" t="s">
        <v>1126</v>
      </c>
    </row>
    <row r="71" spans="1:9">
      <c r="A71" s="2" t="s">
        <v>780</v>
      </c>
      <c r="B71" s="3" t="s">
        <v>781</v>
      </c>
      <c r="C71" s="3" t="s">
        <v>782</v>
      </c>
      <c r="D71" s="3" t="s">
        <v>1158</v>
      </c>
      <c r="E71" s="8" t="str">
        <f>'Group KPIs'!K71</f>
        <v>9 on track · 2 at risk · 0 off track</v>
      </c>
      <c r="F71" s="3" t="s">
        <v>784</v>
      </c>
      <c r="G71" s="7" t="s">
        <v>1125</v>
      </c>
      <c r="H71" s="3" t="s">
        <v>785</v>
      </c>
      <c r="I71" s="3" t="s">
        <v>1126</v>
      </c>
    </row>
    <row r="72" spans="1:9">
      <c r="A72" s="2" t="s">
        <v>787</v>
      </c>
      <c r="B72" s="3" t="s">
        <v>788</v>
      </c>
      <c r="C72" s="3" t="s">
        <v>447</v>
      </c>
      <c r="D72" s="3" t="s">
        <v>1159</v>
      </c>
      <c r="E72" s="4">
        <f>'Group KPIs'!K72</f>
        <v>47.96</v>
      </c>
      <c r="F72" s="3" t="s">
        <v>790</v>
      </c>
      <c r="G72" s="7" t="s">
        <v>1125</v>
      </c>
      <c r="H72" s="3" t="s">
        <v>760</v>
      </c>
      <c r="I72" s="3" t="s">
        <v>1126</v>
      </c>
    </row>
    <row r="73" spans="1:9">
      <c r="A73" s="2" t="s">
        <v>792</v>
      </c>
      <c r="B73" s="3" t="s">
        <v>793</v>
      </c>
      <c r="C73" s="3" t="s">
        <v>539</v>
      </c>
      <c r="D73" s="3" t="s">
        <v>1160</v>
      </c>
      <c r="E73" s="4">
        <f>'Group KPIs'!K73</f>
        <v>1.0</v>
      </c>
      <c r="F73" s="3" t="s">
        <v>795</v>
      </c>
      <c r="G73" s="7" t="s">
        <v>1125</v>
      </c>
      <c r="H73" s="3" t="s">
        <v>760</v>
      </c>
      <c r="I73" s="3" t="s">
        <v>1126</v>
      </c>
    </row>
    <row r="74" spans="1:9">
      <c r="A74" s="2" t="s">
        <v>796</v>
      </c>
      <c r="B74" s="3" t="s">
        <v>797</v>
      </c>
      <c r="C74" s="3" t="s">
        <v>447</v>
      </c>
      <c r="D74" s="3" t="s">
        <v>1161</v>
      </c>
      <c r="E74" s="4">
        <f>'Group KPIs'!K74</f>
        <v>54.03</v>
      </c>
      <c r="F74" s="3" t="s">
        <v>799</v>
      </c>
      <c r="G74" s="7" t="s">
        <v>1125</v>
      </c>
      <c r="H74" s="3" t="s">
        <v>800</v>
      </c>
      <c r="I74" s="3" t="s">
        <v>1126</v>
      </c>
    </row>
    <row r="75" spans="1:9">
      <c r="A75" s="2" t="s">
        <v>802</v>
      </c>
      <c r="B75" s="3" t="s">
        <v>803</v>
      </c>
      <c r="C75" s="3" t="s">
        <v>447</v>
      </c>
      <c r="D75" s="3" t="s">
        <v>1161</v>
      </c>
      <c r="E75" s="4">
        <f>'Group KPIs'!K75</f>
        <v>54.03</v>
      </c>
      <c r="F75" s="3" t="s">
        <v>799</v>
      </c>
      <c r="G75" s="7" t="s">
        <v>1125</v>
      </c>
      <c r="H75" s="3" t="s">
        <v>804</v>
      </c>
      <c r="I75" s="3" t="s">
        <v>1126</v>
      </c>
    </row>
    <row r="76" spans="1:9">
      <c r="A76" s="2" t="s">
        <v>805</v>
      </c>
      <c r="B76" s="3" t="s">
        <v>806</v>
      </c>
      <c r="C76" s="3" t="s">
        <v>782</v>
      </c>
      <c r="D76" s="3" t="s">
        <v>1162</v>
      </c>
      <c r="E76" s="8" t="str">
        <f>'Group KPIs'!K76</f>
        <v>15 on track · 6 at risk · 3 delayed</v>
      </c>
      <c r="F76" s="3" t="s">
        <v>808</v>
      </c>
      <c r="G76" s="7" t="s">
        <v>1125</v>
      </c>
      <c r="H76" s="3" t="s">
        <v>809</v>
      </c>
      <c r="I76" s="3" t="s">
        <v>1126</v>
      </c>
    </row>
    <row r="77" spans="1:9">
      <c r="A77" s="2" t="s">
        <v>811</v>
      </c>
      <c r="B77" s="3" t="s">
        <v>812</v>
      </c>
      <c r="C77" s="3" t="s">
        <v>185</v>
      </c>
      <c r="D77" s="3" t="s">
        <v>813</v>
      </c>
      <c r="E77" s="4">
        <f>'Group KPIs'!K77</f>
        <v>1.73</v>
      </c>
      <c r="F77" s="3" t="s">
        <v>461</v>
      </c>
      <c r="G77" s="6" t="s">
        <v>461</v>
      </c>
      <c r="H77" s="3" t="s">
        <v>814</v>
      </c>
      <c r="I77" s="3" t="s">
        <v>1126</v>
      </c>
    </row>
    <row r="78" spans="1:9">
      <c r="A78" s="2" t="s">
        <v>816</v>
      </c>
      <c r="B78" s="3" t="s">
        <v>817</v>
      </c>
      <c r="C78" s="3" t="s">
        <v>614</v>
      </c>
      <c r="D78" s="3" t="s">
        <v>1163</v>
      </c>
      <c r="E78" s="4">
        <f>'Group KPIs'!K78</f>
        <v>14.21</v>
      </c>
      <c r="F78" s="3" t="s">
        <v>819</v>
      </c>
      <c r="G78" s="7" t="s">
        <v>1125</v>
      </c>
      <c r="H78" s="3" t="s">
        <v>760</v>
      </c>
      <c r="I78" s="3" t="s">
        <v>1126</v>
      </c>
    </row>
    <row r="79" spans="1:9">
      <c r="A79" s="2" t="s">
        <v>820</v>
      </c>
      <c r="B79" s="3" t="s">
        <v>821</v>
      </c>
      <c r="C79" s="3" t="s">
        <v>614</v>
      </c>
      <c r="D79" s="3" t="s">
        <v>1164</v>
      </c>
      <c r="E79" s="4">
        <f>'Group KPIs'!K79</f>
        <v>8.71</v>
      </c>
      <c r="F79" s="3" t="s">
        <v>823</v>
      </c>
      <c r="G79" s="7" t="s">
        <v>1125</v>
      </c>
      <c r="H79" s="3" t="s">
        <v>760</v>
      </c>
      <c r="I79" s="3" t="s">
        <v>1126</v>
      </c>
    </row>
    <row r="80" spans="1:9">
      <c r="A80" s="2" t="s">
        <v>824</v>
      </c>
      <c r="B80" s="3" t="s">
        <v>825</v>
      </c>
      <c r="C80" s="3" t="s">
        <v>614</v>
      </c>
      <c r="D80" s="3" t="s">
        <v>1165</v>
      </c>
      <c r="E80" s="4">
        <f>'Group KPIs'!K80</f>
        <v>11.25</v>
      </c>
      <c r="F80" s="3" t="s">
        <v>827</v>
      </c>
      <c r="G80" s="7" t="s">
        <v>1125</v>
      </c>
      <c r="H80" s="3" t="s">
        <v>760</v>
      </c>
      <c r="I80" s="3" t="s">
        <v>1126</v>
      </c>
    </row>
    <row r="81" spans="1:9">
      <c r="A81" s="2" t="s">
        <v>828</v>
      </c>
      <c r="B81" s="3" t="s">
        <v>829</v>
      </c>
      <c r="C81" s="3" t="s">
        <v>447</v>
      </c>
      <c r="D81" s="3" t="s">
        <v>830</v>
      </c>
      <c r="E81" s="4">
        <f>'Group KPIs'!K81</f>
        <v>91.41</v>
      </c>
      <c r="F81" s="3" t="s">
        <v>736</v>
      </c>
      <c r="G81" s="7" t="s">
        <v>1125</v>
      </c>
      <c r="H81" s="3" t="s">
        <v>831</v>
      </c>
      <c r="I81" s="3" t="s">
        <v>1126</v>
      </c>
    </row>
    <row r="82" spans="1:9">
      <c r="A82" s="2" t="s">
        <v>833</v>
      </c>
      <c r="B82" s="3" t="s">
        <v>834</v>
      </c>
      <c r="C82" s="3" t="s">
        <v>447</v>
      </c>
      <c r="D82" s="3" t="s">
        <v>835</v>
      </c>
      <c r="E82" s="4">
        <f>'Group KPIs'!K82</f>
        <v>96.82</v>
      </c>
      <c r="F82" s="3" t="s">
        <v>461</v>
      </c>
      <c r="G82" s="6" t="s">
        <v>461</v>
      </c>
      <c r="H82" s="3"/>
      <c r="I82" s="3" t="s">
        <v>1126</v>
      </c>
    </row>
    <row r="83" spans="1:9">
      <c r="A83" s="2" t="s">
        <v>837</v>
      </c>
      <c r="B83" s="3" t="s">
        <v>838</v>
      </c>
      <c r="C83" s="3" t="s">
        <v>447</v>
      </c>
      <c r="D83" s="3" t="s">
        <v>839</v>
      </c>
      <c r="E83" s="4">
        <f>'Group KPIs'!K83</f>
        <v>1.12</v>
      </c>
      <c r="F83" s="3" t="s">
        <v>461</v>
      </c>
      <c r="G83" s="6" t="s">
        <v>461</v>
      </c>
      <c r="H83" s="3"/>
      <c r="I83" s="3" t="s">
        <v>1126</v>
      </c>
    </row>
    <row r="84" spans="1:9">
      <c r="A84" s="2" t="s">
        <v>841</v>
      </c>
      <c r="B84" s="3" t="s">
        <v>842</v>
      </c>
      <c r="C84" s="3" t="s">
        <v>447</v>
      </c>
      <c r="D84" s="3" t="s">
        <v>843</v>
      </c>
      <c r="E84" s="4">
        <f>'Group KPIs'!K84</f>
        <v>5.25</v>
      </c>
      <c r="F84" s="3" t="s">
        <v>844</v>
      </c>
      <c r="G84" s="5" t="s">
        <v>1123</v>
      </c>
      <c r="H84" s="3" t="s">
        <v>845</v>
      </c>
      <c r="I84" s="3" t="s">
        <v>1126</v>
      </c>
    </row>
    <row r="85" spans="1:9">
      <c r="A85" s="2" t="s">
        <v>847</v>
      </c>
      <c r="B85" s="3" t="s">
        <v>848</v>
      </c>
      <c r="C85" s="3" t="s">
        <v>539</v>
      </c>
      <c r="D85" s="3" t="s">
        <v>1166</v>
      </c>
      <c r="E85" s="4">
        <f>'Group KPIs'!K85</f>
        <v>3.0</v>
      </c>
      <c r="F85" s="3" t="s">
        <v>850</v>
      </c>
      <c r="G85" s="7" t="s">
        <v>1125</v>
      </c>
      <c r="H85" s="3" t="s">
        <v>845</v>
      </c>
      <c r="I85" s="3" t="s">
        <v>1126</v>
      </c>
    </row>
    <row r="86" spans="1:9">
      <c r="A86" s="2" t="s">
        <v>851</v>
      </c>
      <c r="B86" s="3" t="s">
        <v>852</v>
      </c>
      <c r="C86" s="3" t="s">
        <v>447</v>
      </c>
      <c r="D86" s="3" t="s">
        <v>853</v>
      </c>
      <c r="E86" s="4">
        <f>'Group KPIs'!K86</f>
        <v>35.19</v>
      </c>
      <c r="F86" s="3" t="s">
        <v>844</v>
      </c>
      <c r="G86" s="5" t="s">
        <v>1123</v>
      </c>
      <c r="H86" s="3" t="s">
        <v>597</v>
      </c>
      <c r="I86" s="3" t="s">
        <v>1126</v>
      </c>
    </row>
    <row r="87" spans="1:9">
      <c r="A87" s="2" t="s">
        <v>855</v>
      </c>
      <c r="B87" s="3" t="s">
        <v>856</v>
      </c>
      <c r="C87" s="3" t="s">
        <v>539</v>
      </c>
      <c r="D87" s="3" t="s">
        <v>1167</v>
      </c>
      <c r="E87" s="4">
        <f>'Group KPIs'!K87</f>
        <v>3.0</v>
      </c>
      <c r="F87" s="3" t="s">
        <v>563</v>
      </c>
      <c r="G87" s="5" t="s">
        <v>1123</v>
      </c>
      <c r="H87" s="3" t="s">
        <v>597</v>
      </c>
      <c r="I87" s="3" t="s">
        <v>1126</v>
      </c>
    </row>
    <row r="88" spans="1:9">
      <c r="A88" s="2" t="s">
        <v>858</v>
      </c>
      <c r="B88" s="3" t="s">
        <v>859</v>
      </c>
      <c r="C88" s="3" t="s">
        <v>539</v>
      </c>
      <c r="D88" s="3" t="s">
        <v>1168</v>
      </c>
      <c r="E88" s="4">
        <f>'Group KPIs'!K88</f>
        <v>4.0</v>
      </c>
      <c r="F88" s="3" t="s">
        <v>861</v>
      </c>
      <c r="G88" s="7" t="s">
        <v>1125</v>
      </c>
      <c r="H88" s="3" t="s">
        <v>862</v>
      </c>
      <c r="I88" s="3" t="s">
        <v>1126</v>
      </c>
    </row>
    <row r="89" spans="1:9">
      <c r="A89" s="2" t="s">
        <v>863</v>
      </c>
      <c r="B89" s="3" t="s">
        <v>864</v>
      </c>
      <c r="C89" s="3" t="s">
        <v>447</v>
      </c>
      <c r="D89" s="3" t="s">
        <v>1169</v>
      </c>
      <c r="E89" s="4">
        <f>'Group KPIs'!K89</f>
        <v>95.71</v>
      </c>
      <c r="F89" s="3" t="s">
        <v>866</v>
      </c>
      <c r="G89" s="7" t="s">
        <v>1125</v>
      </c>
      <c r="H89" s="3" t="s">
        <v>862</v>
      </c>
      <c r="I89" s="3" t="s">
        <v>1126</v>
      </c>
    </row>
    <row r="90" spans="1:9">
      <c r="A90" s="2" t="s">
        <v>868</v>
      </c>
      <c r="B90" s="3" t="s">
        <v>869</v>
      </c>
      <c r="C90" s="3" t="s">
        <v>539</v>
      </c>
      <c r="D90" s="3" t="s">
        <v>1170</v>
      </c>
      <c r="E90" s="4">
        <f>'Group KPIs'!K90</f>
        <v>0.0</v>
      </c>
      <c r="F90" s="3" t="s">
        <v>795</v>
      </c>
      <c r="G90" s="5" t="s">
        <v>1123</v>
      </c>
      <c r="H90" s="3" t="s">
        <v>871</v>
      </c>
      <c r="I90" s="3" t="s">
        <v>1126</v>
      </c>
    </row>
    <row r="91" spans="1:9">
      <c r="A91" s="2" t="s">
        <v>872</v>
      </c>
      <c r="B91" s="3" t="s">
        <v>873</v>
      </c>
      <c r="C91" s="3" t="s">
        <v>539</v>
      </c>
      <c r="D91" s="3" t="s">
        <v>1171</v>
      </c>
      <c r="E91" s="4">
        <f>'Group KPIs'!K91</f>
        <v>0.0</v>
      </c>
      <c r="F91" s="3" t="s">
        <v>875</v>
      </c>
      <c r="G91" s="5" t="s">
        <v>1123</v>
      </c>
      <c r="H91" s="3" t="s">
        <v>576</v>
      </c>
      <c r="I91" s="3" t="s">
        <v>1126</v>
      </c>
    </row>
    <row r="92" spans="1:9">
      <c r="A92" s="2" t="s">
        <v>876</v>
      </c>
      <c r="B92" s="3" t="s">
        <v>877</v>
      </c>
      <c r="C92" s="3" t="s">
        <v>539</v>
      </c>
      <c r="D92" s="3" t="s">
        <v>1172</v>
      </c>
      <c r="E92" s="4">
        <f>'Group KPIs'!K92</f>
        <v>3.0</v>
      </c>
      <c r="F92" s="3" t="s">
        <v>875</v>
      </c>
      <c r="G92" s="7" t="s">
        <v>1125</v>
      </c>
      <c r="H92" s="3" t="s">
        <v>576</v>
      </c>
      <c r="I92" s="3" t="s">
        <v>1126</v>
      </c>
    </row>
    <row r="93" spans="1:9">
      <c r="A93" s="2" t="s">
        <v>879</v>
      </c>
      <c r="B93" s="3" t="s">
        <v>880</v>
      </c>
      <c r="C93" s="3" t="s">
        <v>539</v>
      </c>
      <c r="D93" s="3" t="s">
        <v>1173</v>
      </c>
      <c r="E93" s="4">
        <f>'Group KPIs'!K93</f>
        <v>1.0</v>
      </c>
      <c r="F93" s="3" t="s">
        <v>882</v>
      </c>
      <c r="G93" s="5" t="s">
        <v>1123</v>
      </c>
      <c r="H93" s="3" t="s">
        <v>576</v>
      </c>
      <c r="I93" s="3" t="s">
        <v>1126</v>
      </c>
    </row>
    <row r="94" spans="1:9">
      <c r="A94" s="2" t="s">
        <v>883</v>
      </c>
      <c r="B94" s="3" t="s">
        <v>884</v>
      </c>
      <c r="C94" s="3" t="s">
        <v>539</v>
      </c>
      <c r="D94" s="3" t="s">
        <v>1174</v>
      </c>
      <c r="E94" s="4">
        <f>'Group KPIs'!K94</f>
        <v>2.0</v>
      </c>
      <c r="F94" s="3" t="s">
        <v>886</v>
      </c>
      <c r="G94" s="5" t="s">
        <v>1123</v>
      </c>
      <c r="H94" s="3" t="s">
        <v>576</v>
      </c>
      <c r="I94" s="3" t="s">
        <v>1126</v>
      </c>
    </row>
    <row r="95" spans="1:9">
      <c r="A95" s="2" t="s">
        <v>887</v>
      </c>
      <c r="B95" s="3" t="s">
        <v>888</v>
      </c>
      <c r="C95" s="3" t="s">
        <v>539</v>
      </c>
      <c r="D95" s="3" t="s">
        <v>1175</v>
      </c>
      <c r="E95" s="4">
        <f>'Group KPIs'!K95</f>
        <v>0.0</v>
      </c>
      <c r="F95" s="3" t="s">
        <v>563</v>
      </c>
      <c r="G95" s="7" t="s">
        <v>1125</v>
      </c>
      <c r="H95" s="3" t="s">
        <v>559</v>
      </c>
      <c r="I95" s="3" t="s">
        <v>1126</v>
      </c>
    </row>
    <row r="96" spans="1:9">
      <c r="A96" s="2" t="s">
        <v>890</v>
      </c>
      <c r="B96" s="3" t="s">
        <v>891</v>
      </c>
      <c r="C96" s="3" t="s">
        <v>539</v>
      </c>
      <c r="D96" s="3" t="s">
        <v>1176</v>
      </c>
      <c r="E96" s="4">
        <f>'Group KPIs'!K96</f>
        <v>0.0</v>
      </c>
      <c r="F96" s="3" t="s">
        <v>882</v>
      </c>
      <c r="G96" s="5" t="s">
        <v>1123</v>
      </c>
      <c r="H96" s="3" t="s">
        <v>576</v>
      </c>
      <c r="I96" s="3" t="s">
        <v>1126</v>
      </c>
    </row>
    <row r="97" spans="1:9">
      <c r="A97" s="2" t="s">
        <v>892</v>
      </c>
      <c r="B97" s="3" t="s">
        <v>893</v>
      </c>
      <c r="C97" s="3" t="s">
        <v>539</v>
      </c>
      <c r="D97" s="3" t="s">
        <v>1177</v>
      </c>
      <c r="E97" s="4">
        <f>'Group KPIs'!K97</f>
        <v>0.0</v>
      </c>
      <c r="F97" s="3" t="s">
        <v>563</v>
      </c>
      <c r="G97" s="7" t="s">
        <v>1125</v>
      </c>
      <c r="H97" s="3" t="s">
        <v>576</v>
      </c>
      <c r="I97" s="3" t="s">
        <v>1126</v>
      </c>
    </row>
    <row r="98" spans="1:9">
      <c r="A98" s="2" t="s">
        <v>894</v>
      </c>
      <c r="B98" s="3" t="s">
        <v>895</v>
      </c>
      <c r="C98" s="3" t="s">
        <v>782</v>
      </c>
      <c r="D98" s="3" t="s">
        <v>1178</v>
      </c>
      <c r="E98" s="8" t="str">
        <f>'Group KPIs'!K98</f>
        <v>Not triggered</v>
      </c>
      <c r="F98" s="3" t="s">
        <v>897</v>
      </c>
      <c r="G98" s="7" t="s">
        <v>1125</v>
      </c>
      <c r="H98" s="3" t="s">
        <v>898</v>
      </c>
      <c r="I98" s="3" t="s">
        <v>1126</v>
      </c>
    </row>
    <row r="99" spans="1:9">
      <c r="A99" s="2" t="s">
        <v>899</v>
      </c>
      <c r="B99" s="3" t="s">
        <v>900</v>
      </c>
      <c r="C99" s="3" t="s">
        <v>539</v>
      </c>
      <c r="D99" s="3" t="s">
        <v>1179</v>
      </c>
      <c r="E99" s="4">
        <f>'Group KPIs'!K99</f>
        <v>0.0</v>
      </c>
      <c r="F99" s="3" t="s">
        <v>563</v>
      </c>
      <c r="G99" s="7" t="s">
        <v>1125</v>
      </c>
      <c r="H99" s="3" t="s">
        <v>902</v>
      </c>
      <c r="I99" s="3" t="s">
        <v>1126</v>
      </c>
    </row>
    <row r="100" spans="1:9">
      <c r="A100" s="2" t="s">
        <v>903</v>
      </c>
      <c r="B100" s="3" t="s">
        <v>904</v>
      </c>
      <c r="C100" s="3" t="s">
        <v>539</v>
      </c>
      <c r="D100" s="3" t="s">
        <v>1179</v>
      </c>
      <c r="E100" s="4">
        <f>'Group KPIs'!K100</f>
        <v>0.0</v>
      </c>
      <c r="F100" s="3" t="s">
        <v>563</v>
      </c>
      <c r="G100" s="7" t="s">
        <v>1125</v>
      </c>
      <c r="H100" s="3" t="s">
        <v>905</v>
      </c>
      <c r="I100" s="3" t="s">
        <v>1126</v>
      </c>
    </row>
    <row r="101" spans="1:9">
      <c r="A101" s="2" t="s">
        <v>906</v>
      </c>
      <c r="B101" s="3" t="s">
        <v>904</v>
      </c>
      <c r="C101" s="3" t="s">
        <v>539</v>
      </c>
      <c r="D101" s="3" t="s">
        <v>1179</v>
      </c>
      <c r="E101" s="4">
        <f>'Group KPIs'!K101</f>
        <v>0.0</v>
      </c>
      <c r="F101" s="3" t="s">
        <v>563</v>
      </c>
      <c r="G101" s="7" t="s">
        <v>1125</v>
      </c>
      <c r="H101" s="3" t="s">
        <v>907</v>
      </c>
      <c r="I101" s="3" t="s">
        <v>1126</v>
      </c>
    </row>
    <row r="102" spans="1:9">
      <c r="A102" s="2" t="s">
        <v>908</v>
      </c>
      <c r="B102" s="3" t="s">
        <v>909</v>
      </c>
      <c r="C102" s="3" t="s">
        <v>539</v>
      </c>
      <c r="D102" s="3" t="s">
        <v>1180</v>
      </c>
      <c r="E102" s="4">
        <f>'Group KPIs'!K102</f>
        <v>0.0</v>
      </c>
      <c r="F102" s="3" t="s">
        <v>910</v>
      </c>
      <c r="G102" s="7" t="s">
        <v>1125</v>
      </c>
      <c r="H102" s="3" t="s">
        <v>559</v>
      </c>
      <c r="I102" s="3" t="s">
        <v>1126</v>
      </c>
    </row>
    <row r="103" spans="1:9">
      <c r="A103" s="2" t="s">
        <v>911</v>
      </c>
      <c r="B103" s="3" t="s">
        <v>912</v>
      </c>
      <c r="C103" s="3" t="s">
        <v>447</v>
      </c>
      <c r="D103" s="3" t="s">
        <v>1181</v>
      </c>
      <c r="E103" s="4">
        <f>'Group KPIs'!K103</f>
        <v>85.42</v>
      </c>
      <c r="F103" s="3" t="s">
        <v>914</v>
      </c>
      <c r="G103" s="5" t="s">
        <v>1123</v>
      </c>
      <c r="H103" s="3" t="s">
        <v>915</v>
      </c>
      <c r="I103" s="3" t="s">
        <v>1124</v>
      </c>
    </row>
    <row r="104" spans="1:9">
      <c r="A104" s="2" t="s">
        <v>916</v>
      </c>
      <c r="B104" s="3" t="s">
        <v>917</v>
      </c>
      <c r="C104" s="3" t="s">
        <v>539</v>
      </c>
      <c r="D104" s="3" t="s">
        <v>1182</v>
      </c>
      <c r="E104" s="4">
        <f>'Group KPIs'!K104</f>
        <v>4.0</v>
      </c>
      <c r="F104" s="3" t="s">
        <v>861</v>
      </c>
      <c r="G104" s="7" t="s">
        <v>1125</v>
      </c>
      <c r="H104" s="3" t="s">
        <v>559</v>
      </c>
      <c r="I104" s="3" t="s">
        <v>1126</v>
      </c>
    </row>
    <row r="105" spans="1:9">
      <c r="A105" s="2" t="s">
        <v>919</v>
      </c>
      <c r="B105" s="3" t="s">
        <v>920</v>
      </c>
      <c r="C105" s="3" t="s">
        <v>539</v>
      </c>
      <c r="D105" s="3" t="s">
        <v>1183</v>
      </c>
      <c r="E105" s="4">
        <f>'Group KPIs'!K105</f>
        <v>0.0</v>
      </c>
      <c r="F105" s="3" t="s">
        <v>563</v>
      </c>
      <c r="G105" s="7" t="s">
        <v>1125</v>
      </c>
      <c r="H105" s="3" t="s">
        <v>922</v>
      </c>
      <c r="I105" s="3" t="s">
        <v>1126</v>
      </c>
    </row>
    <row r="106" spans="1:9">
      <c r="A106" s="2" t="s">
        <v>923</v>
      </c>
      <c r="B106" s="3" t="s">
        <v>924</v>
      </c>
      <c r="C106" s="3" t="s">
        <v>539</v>
      </c>
      <c r="D106" s="3" t="s">
        <v>1184</v>
      </c>
      <c r="E106" s="4">
        <f>'Group KPIs'!K106</f>
        <v>4.0</v>
      </c>
      <c r="F106" s="3" t="s">
        <v>875</v>
      </c>
      <c r="G106" s="5" t="s">
        <v>1123</v>
      </c>
      <c r="H106" s="3" t="s">
        <v>559</v>
      </c>
      <c r="I106" s="3" t="s">
        <v>1126</v>
      </c>
    </row>
    <row r="107" spans="1:9">
      <c r="A107" s="2" t="s">
        <v>926</v>
      </c>
      <c r="B107" s="3" t="s">
        <v>927</v>
      </c>
      <c r="C107" s="3" t="s">
        <v>539</v>
      </c>
      <c r="D107" s="3" t="s">
        <v>1185</v>
      </c>
      <c r="E107" s="4">
        <f>'Group KPIs'!K107</f>
        <v>0.0</v>
      </c>
      <c r="F107" s="3" t="s">
        <v>563</v>
      </c>
      <c r="G107" s="7" t="s">
        <v>1125</v>
      </c>
      <c r="H107" s="3" t="s">
        <v>862</v>
      </c>
      <c r="I107" s="3" t="s">
        <v>1126</v>
      </c>
    </row>
    <row r="108" spans="1:9">
      <c r="A108" s="2" t="s">
        <v>929</v>
      </c>
      <c r="B108" s="3" t="s">
        <v>930</v>
      </c>
      <c r="C108" s="3" t="s">
        <v>539</v>
      </c>
      <c r="D108" s="3" t="s">
        <v>1186</v>
      </c>
      <c r="E108" s="4">
        <f>'Group KPIs'!K108</f>
        <v>1.0</v>
      </c>
      <c r="F108" s="3" t="s">
        <v>795</v>
      </c>
      <c r="G108" s="7" t="s">
        <v>1125</v>
      </c>
      <c r="H108" s="3" t="s">
        <v>559</v>
      </c>
      <c r="I108" s="3" t="s">
        <v>1126</v>
      </c>
    </row>
    <row r="109" spans="1:9">
      <c r="A109" s="2" t="s">
        <v>932</v>
      </c>
      <c r="B109" s="3" t="s">
        <v>933</v>
      </c>
      <c r="C109" s="3" t="s">
        <v>539</v>
      </c>
      <c r="D109" s="3" t="s">
        <v>1187</v>
      </c>
      <c r="E109" s="4">
        <f>'Group KPIs'!K109</f>
        <v>0.0</v>
      </c>
      <c r="F109" s="3" t="s">
        <v>563</v>
      </c>
      <c r="G109" s="7" t="s">
        <v>1125</v>
      </c>
      <c r="H109" s="3" t="s">
        <v>559</v>
      </c>
      <c r="I109" s="3" t="s">
        <v>1126</v>
      </c>
    </row>
    <row r="110" spans="1:9">
      <c r="A110" s="2" t="s">
        <v>935</v>
      </c>
      <c r="B110" s="3" t="s">
        <v>936</v>
      </c>
      <c r="C110" s="3" t="s">
        <v>539</v>
      </c>
      <c r="D110" s="3" t="s">
        <v>1188</v>
      </c>
      <c r="E110" s="4">
        <f>'Group KPIs'!K110</f>
        <v>0.0</v>
      </c>
      <c r="F110" s="3" t="s">
        <v>563</v>
      </c>
      <c r="G110" s="7" t="s">
        <v>1125</v>
      </c>
      <c r="H110" s="3" t="s">
        <v>559</v>
      </c>
      <c r="I110" s="3" t="s">
        <v>1126</v>
      </c>
    </row>
    <row r="111" spans="1:9">
      <c r="A111" s="2" t="s">
        <v>938</v>
      </c>
      <c r="B111" s="3" t="s">
        <v>939</v>
      </c>
      <c r="C111" s="3" t="s">
        <v>539</v>
      </c>
      <c r="D111" s="3" t="s">
        <v>1189</v>
      </c>
      <c r="E111" s="4">
        <f>'Group KPIs'!K111</f>
        <v>14.0</v>
      </c>
      <c r="F111" s="3" t="s">
        <v>941</v>
      </c>
      <c r="G111" s="5" t="s">
        <v>1123</v>
      </c>
      <c r="H111" s="3" t="s">
        <v>559</v>
      </c>
      <c r="I111" s="3" t="s">
        <v>1126</v>
      </c>
    </row>
    <row r="112" spans="1:9">
      <c r="A112" s="2" t="s">
        <v>942</v>
      </c>
      <c r="B112" s="3" t="s">
        <v>943</v>
      </c>
      <c r="C112" s="3" t="s">
        <v>782</v>
      </c>
      <c r="D112" s="3" t="s">
        <v>1190</v>
      </c>
      <c r="E112" s="8" t="str">
        <f>'Group KPIs'!K112</f>
        <v>6 of 8</v>
      </c>
      <c r="F112" s="3" t="s">
        <v>945</v>
      </c>
      <c r="G112" s="7" t="s">
        <v>1125</v>
      </c>
      <c r="H112" s="3" t="s">
        <v>915</v>
      </c>
      <c r="I112" s="3" t="s">
        <v>1126</v>
      </c>
    </row>
    <row r="113" spans="1:9">
      <c r="A113" s="2" t="s">
        <v>947</v>
      </c>
      <c r="B113" s="3" t="s">
        <v>948</v>
      </c>
      <c r="C113" s="3" t="s">
        <v>539</v>
      </c>
      <c r="D113" s="3" t="s">
        <v>1191</v>
      </c>
      <c r="E113" s="4">
        <f>'Group KPIs'!K113</f>
        <v>2.0</v>
      </c>
      <c r="F113" s="3" t="s">
        <v>950</v>
      </c>
      <c r="G113" s="7" t="s">
        <v>1125</v>
      </c>
      <c r="H113" s="3" t="s">
        <v>951</v>
      </c>
      <c r="I113" s="3" t="s">
        <v>1126</v>
      </c>
    </row>
    <row r="114" spans="1:9">
      <c r="A114" s="2" t="s">
        <v>952</v>
      </c>
      <c r="B114" s="3" t="s">
        <v>953</v>
      </c>
      <c r="C114" s="3" t="s">
        <v>539</v>
      </c>
      <c r="D114" s="3" t="s">
        <v>1192</v>
      </c>
      <c r="E114" s="4">
        <f>'Group KPIs'!K114</f>
        <v>0.0</v>
      </c>
      <c r="F114" s="3" t="s">
        <v>563</v>
      </c>
      <c r="G114" s="7" t="s">
        <v>1125</v>
      </c>
      <c r="H114" s="3" t="s">
        <v>951</v>
      </c>
      <c r="I114" s="3" t="s">
        <v>1126</v>
      </c>
    </row>
    <row r="115" spans="1:9">
      <c r="A115" s="2" t="s">
        <v>955</v>
      </c>
      <c r="B115" s="3" t="s">
        <v>956</v>
      </c>
      <c r="C115" s="3" t="s">
        <v>539</v>
      </c>
      <c r="D115" s="3" t="s">
        <v>1193</v>
      </c>
      <c r="E115" s="4">
        <f>'Group KPIs'!K115</f>
        <v>1.0</v>
      </c>
      <c r="F115" s="3" t="s">
        <v>795</v>
      </c>
      <c r="G115" s="7" t="s">
        <v>1125</v>
      </c>
      <c r="H115" s="3" t="s">
        <v>951</v>
      </c>
      <c r="I115" s="3" t="s">
        <v>1126</v>
      </c>
    </row>
    <row r="116" spans="1:9">
      <c r="A116" s="2" t="s">
        <v>957</v>
      </c>
      <c r="B116" s="3" t="s">
        <v>958</v>
      </c>
      <c r="C116" s="3" t="s">
        <v>539</v>
      </c>
      <c r="D116" s="3" t="s">
        <v>1194</v>
      </c>
      <c r="E116" s="4">
        <f>'Group KPIs'!K116</f>
        <v>7.0</v>
      </c>
      <c r="F116" s="3" t="s">
        <v>959</v>
      </c>
      <c r="G116" s="7" t="s">
        <v>1125</v>
      </c>
      <c r="H116" s="3" t="s">
        <v>960</v>
      </c>
      <c r="I116" s="3" t="s">
        <v>1126</v>
      </c>
    </row>
    <row r="117" spans="1:9">
      <c r="A117" s="2" t="s">
        <v>961</v>
      </c>
      <c r="B117" s="3" t="s">
        <v>962</v>
      </c>
      <c r="C117" s="3" t="s">
        <v>539</v>
      </c>
      <c r="D117" s="3" t="s">
        <v>1195</v>
      </c>
      <c r="E117" s="4">
        <f>'Group KPIs'!K117</f>
        <v>0.0</v>
      </c>
      <c r="F117" s="3" t="s">
        <v>563</v>
      </c>
      <c r="G117" s="7" t="s">
        <v>1125</v>
      </c>
      <c r="H117" s="3" t="s">
        <v>951</v>
      </c>
      <c r="I117" s="3" t="s">
        <v>1126</v>
      </c>
    </row>
    <row r="118" spans="1:9">
      <c r="A118" s="2" t="s">
        <v>963</v>
      </c>
      <c r="B118" s="3" t="s">
        <v>964</v>
      </c>
      <c r="C118" s="3" t="s">
        <v>539</v>
      </c>
      <c r="D118" s="3" t="s">
        <v>1196</v>
      </c>
      <c r="E118" s="4">
        <f>'Group KPIs'!K118</f>
        <v>1.0</v>
      </c>
      <c r="F118" s="3" t="s">
        <v>795</v>
      </c>
      <c r="G118" s="7" t="s">
        <v>1125</v>
      </c>
      <c r="H118" s="3" t="s">
        <v>951</v>
      </c>
      <c r="I118" s="3" t="s">
        <v>1126</v>
      </c>
    </row>
    <row r="119" spans="1:9">
      <c r="A119" s="2" t="s">
        <v>966</v>
      </c>
      <c r="B119" s="3" t="s">
        <v>967</v>
      </c>
      <c r="C119" s="3" t="s">
        <v>539</v>
      </c>
      <c r="D119" s="3" t="s">
        <v>1197</v>
      </c>
      <c r="E119" s="4">
        <f>'Group KPIs'!K119</f>
        <v>1.0</v>
      </c>
      <c r="F119" s="3" t="s">
        <v>795</v>
      </c>
      <c r="G119" s="7" t="s">
        <v>1125</v>
      </c>
      <c r="H119" s="3" t="s">
        <v>969</v>
      </c>
      <c r="I119" s="3" t="s">
        <v>1126</v>
      </c>
    </row>
    <row r="120" spans="1:9">
      <c r="A120" s="2" t="s">
        <v>970</v>
      </c>
      <c r="B120" s="3" t="s">
        <v>971</v>
      </c>
      <c r="C120" s="3" t="s">
        <v>539</v>
      </c>
      <c r="D120" s="3" t="s">
        <v>1198</v>
      </c>
      <c r="E120" s="4">
        <f>'Group KPIs'!K120</f>
        <v>1.0</v>
      </c>
      <c r="F120" s="3" t="s">
        <v>795</v>
      </c>
      <c r="G120" s="7" t="s">
        <v>1125</v>
      </c>
      <c r="H120" s="3" t="s">
        <v>951</v>
      </c>
      <c r="I120" s="3" t="s">
        <v>1126</v>
      </c>
    </row>
    <row r="121" spans="1:9">
      <c r="A121" s="2" t="s">
        <v>972</v>
      </c>
      <c r="B121" s="3" t="s">
        <v>973</v>
      </c>
      <c r="C121" s="3" t="s">
        <v>539</v>
      </c>
      <c r="D121" s="3" t="s">
        <v>1199</v>
      </c>
      <c r="E121" s="4">
        <f>'Group KPIs'!K121</f>
        <v>2.0</v>
      </c>
      <c r="F121" s="3" t="s">
        <v>882</v>
      </c>
      <c r="G121" s="7" t="s">
        <v>1125</v>
      </c>
      <c r="H121" s="3" t="s">
        <v>951</v>
      </c>
      <c r="I121" s="3" t="s">
        <v>1126</v>
      </c>
    </row>
    <row r="122" spans="1:9">
      <c r="A122" s="2" t="s">
        <v>975</v>
      </c>
      <c r="B122" s="3" t="s">
        <v>976</v>
      </c>
      <c r="C122" s="3" t="s">
        <v>539</v>
      </c>
      <c r="D122" s="3" t="s">
        <v>1200</v>
      </c>
      <c r="E122" s="4">
        <f>'Group KPIs'!K122</f>
        <v>1.0</v>
      </c>
      <c r="F122" s="3" t="s">
        <v>795</v>
      </c>
      <c r="G122" s="7" t="s">
        <v>1125</v>
      </c>
      <c r="H122" s="3" t="s">
        <v>969</v>
      </c>
      <c r="I122" s="3" t="s">
        <v>1126</v>
      </c>
    </row>
    <row r="123" spans="1:9">
      <c r="A123" s="2" t="s">
        <v>977</v>
      </c>
      <c r="B123" s="3" t="s">
        <v>978</v>
      </c>
      <c r="C123" s="3" t="s">
        <v>447</v>
      </c>
      <c r="D123" s="3" t="s">
        <v>1201</v>
      </c>
      <c r="E123" s="4">
        <f>'Group KPIs'!K123</f>
        <v>87.96</v>
      </c>
      <c r="F123" s="3" t="s">
        <v>980</v>
      </c>
      <c r="G123" s="7" t="s">
        <v>1125</v>
      </c>
      <c r="H123" s="3" t="s">
        <v>951</v>
      </c>
      <c r="I123" s="3" t="s">
        <v>1126</v>
      </c>
    </row>
    <row r="124" spans="1:9">
      <c r="A124" s="2" t="s">
        <v>982</v>
      </c>
      <c r="B124" s="3" t="s">
        <v>983</v>
      </c>
      <c r="C124" s="3" t="s">
        <v>185</v>
      </c>
      <c r="D124" s="3" t="s">
        <v>1202</v>
      </c>
      <c r="E124" s="4">
        <f>'Group KPIs'!K124</f>
        <v>32.81</v>
      </c>
      <c r="F124" s="3" t="s">
        <v>985</v>
      </c>
      <c r="G124" s="5" t="s">
        <v>1123</v>
      </c>
      <c r="H124" s="3" t="s">
        <v>951</v>
      </c>
      <c r="I124" s="3" t="s">
        <v>1126</v>
      </c>
    </row>
    <row r="125" spans="1:9">
      <c r="A125" s="2" t="s">
        <v>987</v>
      </c>
      <c r="B125" s="3" t="s">
        <v>988</v>
      </c>
      <c r="C125" s="3" t="s">
        <v>447</v>
      </c>
      <c r="D125" s="3" t="s">
        <v>1203</v>
      </c>
      <c r="E125" s="4">
        <f>'Group KPIs'!K125</f>
        <v>83.93</v>
      </c>
      <c r="F125" s="3" t="s">
        <v>990</v>
      </c>
      <c r="G125" s="7" t="s">
        <v>1125</v>
      </c>
      <c r="H125" s="3" t="s">
        <v>991</v>
      </c>
      <c r="I125" s="3" t="s">
        <v>1126</v>
      </c>
    </row>
    <row r="126" spans="1:9">
      <c r="A126" s="2" t="s">
        <v>993</v>
      </c>
      <c r="B126" s="3" t="s">
        <v>994</v>
      </c>
      <c r="C126" s="3" t="s">
        <v>539</v>
      </c>
      <c r="D126" s="3" t="s">
        <v>1204</v>
      </c>
      <c r="E126" s="4">
        <f>'Group KPIs'!K126</f>
        <v>9.0</v>
      </c>
      <c r="F126" s="3" t="s">
        <v>575</v>
      </c>
      <c r="G126" s="7" t="s">
        <v>1125</v>
      </c>
      <c r="H126" s="3" t="s">
        <v>969</v>
      </c>
      <c r="I126" s="3" t="s">
        <v>1126</v>
      </c>
    </row>
    <row r="127" spans="1:9">
      <c r="A127" s="2" t="s">
        <v>996</v>
      </c>
      <c r="B127" s="3" t="s">
        <v>997</v>
      </c>
      <c r="C127" s="3" t="s">
        <v>447</v>
      </c>
      <c r="D127" s="3" t="s">
        <v>1205</v>
      </c>
      <c r="E127" s="4">
        <f>'Group KPIs'!K127</f>
        <v>92.86</v>
      </c>
      <c r="F127" s="3" t="s">
        <v>999</v>
      </c>
      <c r="G127" s="5" t="s">
        <v>1123</v>
      </c>
      <c r="H127" s="3" t="s">
        <v>969</v>
      </c>
      <c r="I127" s="3" t="s">
        <v>1126</v>
      </c>
    </row>
    <row r="128" spans="1:9">
      <c r="A128" s="2" t="s">
        <v>1001</v>
      </c>
      <c r="B128" s="3" t="s">
        <v>1002</v>
      </c>
      <c r="C128" s="3" t="s">
        <v>447</v>
      </c>
      <c r="D128" s="3" t="s">
        <v>1003</v>
      </c>
      <c r="E128" s="4">
        <f>'Group KPIs'!K128</f>
        <v>99.02</v>
      </c>
      <c r="F128" s="3" t="s">
        <v>1004</v>
      </c>
      <c r="G128" s="5" t="s">
        <v>1123</v>
      </c>
      <c r="H128" s="3" t="s">
        <v>951</v>
      </c>
      <c r="I128" s="3" t="s">
        <v>1126</v>
      </c>
    </row>
    <row r="129" spans="1:9">
      <c r="A129" s="2" t="s">
        <v>1006</v>
      </c>
      <c r="B129" s="3" t="s">
        <v>1007</v>
      </c>
      <c r="C129" s="3" t="s">
        <v>447</v>
      </c>
      <c r="D129" s="3" t="s">
        <v>1008</v>
      </c>
      <c r="E129" s="4">
        <f>'Group KPIs'!K129</f>
        <v>95.98</v>
      </c>
      <c r="F129" s="3" t="s">
        <v>1009</v>
      </c>
      <c r="G129" s="5" t="s">
        <v>1123</v>
      </c>
      <c r="H129" s="3" t="s">
        <v>951</v>
      </c>
      <c r="I129" s="3" t="s">
        <v>1126</v>
      </c>
    </row>
    <row r="130" spans="1:9">
      <c r="A130" s="2" t="s">
        <v>1011</v>
      </c>
      <c r="B130" s="3" t="s">
        <v>1012</v>
      </c>
      <c r="C130" s="3" t="s">
        <v>447</v>
      </c>
      <c r="D130" s="3" t="s">
        <v>1013</v>
      </c>
      <c r="E130" s="4">
        <f>'Group KPIs'!K130</f>
        <v>0.38</v>
      </c>
      <c r="F130" s="3" t="s">
        <v>1014</v>
      </c>
      <c r="G130" s="5" t="s">
        <v>1123</v>
      </c>
      <c r="H130" s="3" t="s">
        <v>951</v>
      </c>
      <c r="I130" s="3" t="s">
        <v>1126</v>
      </c>
    </row>
    <row r="131" spans="1:9">
      <c r="A131" s="2" t="s">
        <v>1016</v>
      </c>
      <c r="B131" s="3" t="s">
        <v>1017</v>
      </c>
      <c r="C131" s="3" t="s">
        <v>447</v>
      </c>
      <c r="D131" s="3" t="s">
        <v>1018</v>
      </c>
      <c r="E131" s="4">
        <f>'Group KPIs'!K131</f>
        <v>-0.22</v>
      </c>
      <c r="F131" s="3" t="s">
        <v>1019</v>
      </c>
      <c r="G131" s="5" t="s">
        <v>1123</v>
      </c>
      <c r="H131" s="3" t="s">
        <v>969</v>
      </c>
      <c r="I131" s="3" t="s">
        <v>1127</v>
      </c>
    </row>
    <row r="132" spans="1:9">
      <c r="A132" s="2" t="s">
        <v>1021</v>
      </c>
      <c r="B132" s="3" t="s">
        <v>1022</v>
      </c>
      <c r="C132" s="3" t="s">
        <v>447</v>
      </c>
      <c r="D132" s="3" t="s">
        <v>1023</v>
      </c>
      <c r="E132" s="4">
        <f>'Group KPIs'!K132</f>
        <v>0.27</v>
      </c>
      <c r="F132" s="3" t="s">
        <v>1024</v>
      </c>
      <c r="G132" s="7" t="s">
        <v>1125</v>
      </c>
      <c r="H132" s="3" t="s">
        <v>951</v>
      </c>
      <c r="I132" s="3" t="s">
        <v>1127</v>
      </c>
    </row>
    <row r="133" spans="1:9">
      <c r="A133" s="2" t="s">
        <v>1026</v>
      </c>
      <c r="B133" s="3" t="s">
        <v>1027</v>
      </c>
      <c r="C133" s="3" t="s">
        <v>539</v>
      </c>
      <c r="D133" s="3" t="s">
        <v>1206</v>
      </c>
      <c r="E133" s="4">
        <f>'Group KPIs'!K133</f>
        <v>1.0</v>
      </c>
      <c r="F133" s="3" t="s">
        <v>795</v>
      </c>
      <c r="G133" s="7" t="s">
        <v>1125</v>
      </c>
      <c r="H133" s="3" t="s">
        <v>1028</v>
      </c>
      <c r="I133" s="3" t="s">
        <v>1126</v>
      </c>
    </row>
    <row r="134" spans="1:9">
      <c r="A134" s="2" t="s">
        <v>1029</v>
      </c>
      <c r="B134" s="3" t="s">
        <v>1030</v>
      </c>
      <c r="C134" s="3" t="s">
        <v>539</v>
      </c>
      <c r="D134" s="3" t="s">
        <v>1207</v>
      </c>
      <c r="E134" s="4">
        <f>'Group KPIs'!K134</f>
        <v>1.0</v>
      </c>
      <c r="F134" s="3" t="s">
        <v>795</v>
      </c>
      <c r="G134" s="7" t="s">
        <v>1125</v>
      </c>
      <c r="H134" s="3" t="s">
        <v>1032</v>
      </c>
      <c r="I134" s="3" t="s">
        <v>1126</v>
      </c>
    </row>
    <row r="135" spans="1:9">
      <c r="A135" s="2" t="s">
        <v>1033</v>
      </c>
      <c r="B135" s="3" t="s">
        <v>1034</v>
      </c>
      <c r="C135" s="3" t="s">
        <v>539</v>
      </c>
      <c r="D135" s="3" t="s">
        <v>1208</v>
      </c>
      <c r="E135" s="4">
        <f>'Group KPIs'!K135</f>
        <v>0.0</v>
      </c>
      <c r="F135" s="3" t="s">
        <v>563</v>
      </c>
      <c r="G135" s="7" t="s">
        <v>1125</v>
      </c>
      <c r="H135" s="3" t="s">
        <v>1035</v>
      </c>
      <c r="I135" s="3" t="s">
        <v>1126</v>
      </c>
    </row>
    <row r="136" spans="1:9">
      <c r="A136" s="2" t="s">
        <v>1036</v>
      </c>
      <c r="B136" s="3" t="s">
        <v>1037</v>
      </c>
      <c r="C136" s="3" t="s">
        <v>185</v>
      </c>
      <c r="D136" s="3" t="s">
        <v>1038</v>
      </c>
      <c r="E136" s="4">
        <f>'Group KPIs'!K136</f>
        <v>2.45</v>
      </c>
      <c r="F136" s="3" t="s">
        <v>1039</v>
      </c>
      <c r="G136" s="7" t="s">
        <v>1125</v>
      </c>
      <c r="H136" s="3" t="s">
        <v>1040</v>
      </c>
      <c r="I136" s="3" t="s">
        <v>1126</v>
      </c>
    </row>
    <row r="137" spans="1:9">
      <c r="A137" s="2" t="s">
        <v>1042</v>
      </c>
      <c r="B137" s="3" t="s">
        <v>1043</v>
      </c>
      <c r="C137" s="3" t="s">
        <v>539</v>
      </c>
      <c r="D137" s="3" t="s">
        <v>1044</v>
      </c>
      <c r="E137" s="4">
        <f>'Group KPIs'!K137</f>
        <v>11.0</v>
      </c>
      <c r="F137" s="3" t="s">
        <v>1045</v>
      </c>
      <c r="G137" s="7" t="s">
        <v>1125</v>
      </c>
      <c r="H137" s="3" t="s">
        <v>1040</v>
      </c>
      <c r="I137" s="3" t="s">
        <v>1126</v>
      </c>
    </row>
    <row r="138" spans="1:9">
      <c r="A138" s="2" t="s">
        <v>1046</v>
      </c>
      <c r="B138" s="3" t="s">
        <v>1047</v>
      </c>
      <c r="C138" s="3" t="s">
        <v>539</v>
      </c>
      <c r="D138" s="3" t="s">
        <v>1209</v>
      </c>
      <c r="E138" s="4">
        <f>'Group KPIs'!K138</f>
        <v>4.0</v>
      </c>
      <c r="F138" s="3" t="s">
        <v>882</v>
      </c>
      <c r="G138" s="5" t="s">
        <v>1123</v>
      </c>
      <c r="H138" s="3" t="s">
        <v>1040</v>
      </c>
      <c r="I138" s="3" t="s">
        <v>1126</v>
      </c>
    </row>
    <row r="139" spans="1:9">
      <c r="A139" s="2" t="s">
        <v>1050</v>
      </c>
      <c r="B139" s="3" t="s">
        <v>1051</v>
      </c>
      <c r="C139" s="3" t="s">
        <v>782</v>
      </c>
      <c r="D139" s="3" t="s">
        <v>1210</v>
      </c>
      <c r="E139" s="8" t="str">
        <f>'Group KPIs'!K139</f>
        <v>8 of 9</v>
      </c>
      <c r="F139" s="3" t="s">
        <v>1053</v>
      </c>
      <c r="G139" s="5" t="s">
        <v>1123</v>
      </c>
      <c r="H139" s="3" t="s">
        <v>1040</v>
      </c>
      <c r="I139" s="3" t="s">
        <v>1126</v>
      </c>
    </row>
    <row r="140" spans="1:9">
      <c r="A140" s="2" t="s">
        <v>1055</v>
      </c>
      <c r="B140" s="3" t="s">
        <v>1056</v>
      </c>
      <c r="C140" s="3" t="s">
        <v>185</v>
      </c>
      <c r="D140" s="3" t="s">
        <v>1057</v>
      </c>
      <c r="E140" s="4">
        <f>'Group KPIs'!K140</f>
        <v>1.12</v>
      </c>
      <c r="F140" s="3" t="s">
        <v>1058</v>
      </c>
      <c r="G140" s="5" t="s">
        <v>1123</v>
      </c>
      <c r="H140" s="3" t="s">
        <v>1059</v>
      </c>
      <c r="I140" s="3" t="s">
        <v>1126</v>
      </c>
    </row>
    <row r="141" spans="1:9">
      <c r="A141" s="2" t="s">
        <v>1061</v>
      </c>
      <c r="B141" s="3" t="s">
        <v>1062</v>
      </c>
      <c r="C141" s="3" t="s">
        <v>1063</v>
      </c>
      <c r="D141" s="3" t="s">
        <v>1211</v>
      </c>
      <c r="E141" s="4">
        <f>'Group KPIs'!K141</f>
        <v>3.0</v>
      </c>
      <c r="F141" s="3" t="s">
        <v>1065</v>
      </c>
      <c r="G141" s="5" t="s">
        <v>1123</v>
      </c>
      <c r="H141" s="3" t="s">
        <v>1066</v>
      </c>
      <c r="I141" s="3" t="s">
        <v>1126</v>
      </c>
    </row>
    <row r="142" spans="1:9">
      <c r="A142" s="2" t="s">
        <v>1067</v>
      </c>
      <c r="B142" s="3" t="s">
        <v>1068</v>
      </c>
      <c r="C142" s="3" t="s">
        <v>782</v>
      </c>
      <c r="D142" s="3" t="s">
        <v>1069</v>
      </c>
      <c r="E142" s="8" t="str">
        <f>'Group KPIs'!K142</f>
        <v>Not triggered</v>
      </c>
      <c r="F142" s="3" t="s">
        <v>897</v>
      </c>
      <c r="G142" s="7" t="s">
        <v>1125</v>
      </c>
      <c r="H142" s="3" t="s">
        <v>742</v>
      </c>
      <c r="I142" s="3" t="s">
        <v>1127</v>
      </c>
    </row>
    <row r="143" spans="1:9">
      <c r="A143" s="2" t="s">
        <v>1070</v>
      </c>
      <c r="B143" s="3" t="s">
        <v>1071</v>
      </c>
      <c r="C143" s="3" t="s">
        <v>782</v>
      </c>
      <c r="D143" s="3" t="s">
        <v>1072</v>
      </c>
      <c r="E143" s="8" t="str">
        <f>'Group KPIs'!K143</f>
        <v>Low (-0.4% vs plan price)</v>
      </c>
      <c r="F143" s="3" t="s">
        <v>1073</v>
      </c>
      <c r="G143" s="5" t="s">
        <v>1123</v>
      </c>
      <c r="H143" s="3" t="s">
        <v>653</v>
      </c>
      <c r="I143" s="3" t="s">
        <v>1126</v>
      </c>
    </row>
    <row r="144" spans="1:9">
      <c r="A144" s="2" t="s">
        <v>1074</v>
      </c>
      <c r="B144" s="3" t="s">
        <v>1075</v>
      </c>
      <c r="C144" s="3" t="s">
        <v>185</v>
      </c>
      <c r="D144" s="3" t="s">
        <v>1212</v>
      </c>
      <c r="E144" s="4">
        <f>'Group KPIs'!K144</f>
        <v>4.0</v>
      </c>
      <c r="F144" s="3" t="s">
        <v>461</v>
      </c>
      <c r="G144" s="6" t="s">
        <v>461</v>
      </c>
      <c r="H144" s="3" t="s">
        <v>1078</v>
      </c>
      <c r="I144" s="3" t="s">
        <v>1126</v>
      </c>
    </row>
    <row r="145" spans="1:9">
      <c r="A145" s="2" t="s">
        <v>1079</v>
      </c>
      <c r="B145" s="3" t="s">
        <v>1080</v>
      </c>
      <c r="C145" s="3" t="s">
        <v>447</v>
      </c>
      <c r="D145" s="3" t="s">
        <v>1213</v>
      </c>
      <c r="E145" s="4">
        <f>'Group KPIs'!K145</f>
        <v>69.69</v>
      </c>
      <c r="F145" s="3" t="s">
        <v>1083</v>
      </c>
      <c r="G145" s="5" t="s">
        <v>1123</v>
      </c>
      <c r="H145" s="3" t="s">
        <v>1084</v>
      </c>
      <c r="I145" s="3" t="s">
        <v>1126</v>
      </c>
    </row>
    <row r="146" spans="1:9">
      <c r="A146" s="2" t="s">
        <v>1086</v>
      </c>
      <c r="B146" s="3" t="s">
        <v>1087</v>
      </c>
      <c r="C146" s="3" t="s">
        <v>614</v>
      </c>
      <c r="D146" s="3" t="s">
        <v>1214</v>
      </c>
      <c r="E146" s="4">
        <f>'Group KPIs'!K146</f>
        <v>-56.18</v>
      </c>
      <c r="F146" s="3" t="s">
        <v>1089</v>
      </c>
      <c r="G146" s="5" t="s">
        <v>1123</v>
      </c>
      <c r="H146" s="3" t="s">
        <v>1090</v>
      </c>
      <c r="I146" s="3" t="s">
        <v>1126</v>
      </c>
    </row>
    <row r="147" spans="1:9">
      <c r="A147" s="2" t="s">
        <v>1092</v>
      </c>
      <c r="B147" s="3" t="s">
        <v>1093</v>
      </c>
      <c r="C147" s="3" t="s">
        <v>1094</v>
      </c>
      <c r="D147" s="3" t="s">
        <v>1215</v>
      </c>
      <c r="E147" s="8" t="str">
        <f>'Group KPIs'!K147</f>
        <v>None within 90 d</v>
      </c>
      <c r="F147" s="3" t="s">
        <v>1097</v>
      </c>
      <c r="G147" s="7" t="s">
        <v>1125</v>
      </c>
      <c r="H147" s="3" t="s">
        <v>1098</v>
      </c>
      <c r="I147" s="3" t="s">
        <v>1126</v>
      </c>
    </row>
    <row r="148" spans="1:9">
      <c r="A148" s="2" t="s">
        <v>1100</v>
      </c>
      <c r="B148" s="3" t="s">
        <v>1101</v>
      </c>
      <c r="C148" s="3" t="s">
        <v>782</v>
      </c>
      <c r="D148" s="3" t="s">
        <v>1216</v>
      </c>
      <c r="E148" s="8" t="str">
        <f>'Group KPIs'!K148</f>
        <v>Not forecast</v>
      </c>
      <c r="F148" s="3" t="s">
        <v>1104</v>
      </c>
      <c r="G148" s="7" t="s">
        <v>1125</v>
      </c>
      <c r="H148" s="3" t="s">
        <v>1105</v>
      </c>
      <c r="I148" s="3" t="s">
        <v>1126</v>
      </c>
    </row>
    <row r="149" spans="1:9">
      <c r="A149" s="2" t="s">
        <v>1107</v>
      </c>
      <c r="B149" s="3" t="s">
        <v>1108</v>
      </c>
      <c r="C149" s="3" t="s">
        <v>1109</v>
      </c>
      <c r="D149" s="3" t="s">
        <v>1217</v>
      </c>
      <c r="E149" s="4">
        <f>'Group KPIs'!K149</f>
        <v>28.01</v>
      </c>
      <c r="F149" s="3" t="s">
        <v>1111</v>
      </c>
      <c r="G149" s="5" t="s">
        <v>1123</v>
      </c>
      <c r="H149" s="3" t="s">
        <v>1112</v>
      </c>
      <c r="I149" s="3" t="s">
        <v>1126</v>
      </c>
    </row>
    <row r="150" spans="1:9">
      <c r="A150" s="2" t="s">
        <v>1113</v>
      </c>
      <c r="B150" s="3" t="s">
        <v>1114</v>
      </c>
      <c r="C150" s="3" t="s">
        <v>447</v>
      </c>
      <c r="D150" s="3" t="s">
        <v>1218</v>
      </c>
      <c r="E150" s="4">
        <f>'Group KPIs'!K150</f>
        <v>0.0</v>
      </c>
      <c r="F150" s="3" t="s">
        <v>1116</v>
      </c>
      <c r="G150" s="5" t="s">
        <v>1123</v>
      </c>
      <c r="H150" s="3" t="s">
        <v>597</v>
      </c>
      <c r="I150" s="3" t="s">
        <v>1126</v>
      </c>
    </row>
  </sheetData>
  <autoFilter ref="A1:I150"/>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N150"/>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0.7109375" customWidth="1"/>
    <col min="2" max="2" width="32.7109375" customWidth="1"/>
    <col min="3" max="3" width="11.7109375" customWidth="1"/>
    <col min="4" max="4" width="13.7109375" customWidth="1"/>
    <col min="5" max="5" width="52.7109375" customWidth="1"/>
    <col min="6" max="11" width="13.7109375" customWidth="1"/>
    <col min="12" max="12" width="24.7109375" customWidth="1"/>
    <col min="13" max="13" width="26.7109375" customWidth="1"/>
    <col min="14" max="14" width="40.7109375" customWidth="1"/>
  </cols>
  <sheetData>
    <row r="1" spans="1:14">
      <c r="A1" s="1" t="s">
        <v>431</v>
      </c>
      <c r="B1" s="1" t="s">
        <v>432</v>
      </c>
      <c r="C1" s="1" t="s">
        <v>433</v>
      </c>
      <c r="D1" s="1" t="s">
        <v>434</v>
      </c>
      <c r="E1" s="1" t="s">
        <v>435</v>
      </c>
      <c r="F1" s="1" t="s">
        <v>436</v>
      </c>
      <c r="G1" s="1" t="s">
        <v>437</v>
      </c>
      <c r="H1" s="1" t="s">
        <v>438</v>
      </c>
      <c r="I1" s="1" t="s">
        <v>439</v>
      </c>
      <c r="J1" s="1" t="s">
        <v>440</v>
      </c>
      <c r="K1" s="1" t="s">
        <v>441</v>
      </c>
      <c r="L1" s="1" t="s">
        <v>442</v>
      </c>
      <c r="M1" s="1" t="s">
        <v>443</v>
      </c>
      <c r="N1" s="1" t="s">
        <v>444</v>
      </c>
    </row>
    <row r="2" spans="1:14">
      <c r="A2" s="2" t="s">
        <v>445</v>
      </c>
      <c r="B2" s="3" t="s">
        <v>446</v>
      </c>
      <c r="C2" s="3" t="s">
        <v>447</v>
      </c>
      <c r="D2" s="3" t="s">
        <v>21</v>
      </c>
      <c r="E2" s="3" t="s">
        <v>448</v>
      </c>
      <c r="F2" s="4">
        <f>ROUND(IFERROR(100*'Group Inputs'!M4/'Group Inputs'!K4,0),2)</f>
        <v>96.24</v>
      </c>
      <c r="G2" s="4">
        <f>ROUND(IFERROR(100*'Group Inputs'!M5/'Group Inputs'!K5,0),2)</f>
        <v>91.56</v>
      </c>
      <c r="H2" s="4">
        <f>ROUND(IFERROR(100*'Group Inputs'!M6/'Group Inputs'!K6,0),2)</f>
        <v>89.93</v>
      </c>
      <c r="I2" s="4">
        <f>ROUND(IFERROR(100*'Group Inputs'!M7/'Group Inputs'!K7,0),2)</f>
        <v>94.02</v>
      </c>
      <c r="J2" s="4">
        <f>ROUND(IFERROR(100*'Group Inputs'!M8/'Group Inputs'!K8,0),2)</f>
        <v>92.36</v>
      </c>
      <c r="K2" s="4">
        <f>ROUND(IFERROR(100*'Group Inputs'!M9/'Group Inputs'!K9,0),2)</f>
        <v>95.51</v>
      </c>
      <c r="L2" s="3" t="s">
        <v>449</v>
      </c>
      <c r="M2" s="3" t="s">
        <v>450</v>
      </c>
      <c r="N2" s="3" t="s">
        <v>451</v>
      </c>
    </row>
    <row r="3" spans="1:14">
      <c r="A3" s="2" t="s">
        <v>452</v>
      </c>
      <c r="B3" s="3" t="s">
        <v>453</v>
      </c>
      <c r="C3" s="3" t="s">
        <v>447</v>
      </c>
      <c r="D3" s="3" t="s">
        <v>21</v>
      </c>
      <c r="E3" s="3" t="s">
        <v>454</v>
      </c>
      <c r="F3" s="4">
        <f>ROUND(IFERROR(100*'Group Inputs'!M4/'Group Inputs'!J4,0),2)</f>
        <v>83.98</v>
      </c>
      <c r="G3" s="4">
        <f>ROUND(IFERROR(100*'Group Inputs'!M5/'Group Inputs'!J5,0),2)</f>
        <v>76.21</v>
      </c>
      <c r="H3" s="4">
        <f>ROUND(IFERROR(100*'Group Inputs'!M6/'Group Inputs'!J6,0),2)</f>
        <v>79.77</v>
      </c>
      <c r="I3" s="4">
        <f>ROUND(IFERROR(100*'Group Inputs'!M7/'Group Inputs'!J7,0),2)</f>
        <v>82.31</v>
      </c>
      <c r="J3" s="4">
        <f>ROUND(IFERROR(100*'Group Inputs'!M8/'Group Inputs'!J8,0),2)</f>
        <v>78.87</v>
      </c>
      <c r="K3" s="4">
        <f>ROUND(IFERROR(100*'Group Inputs'!M9/'Group Inputs'!J9,0),2)</f>
        <v>83.44</v>
      </c>
      <c r="L3" s="3" t="s">
        <v>455</v>
      </c>
      <c r="M3" s="3" t="s">
        <v>456</v>
      </c>
      <c r="N3" s="3" t="s">
        <v>457</v>
      </c>
    </row>
    <row r="4" spans="1:14">
      <c r="A4" s="2" t="s">
        <v>458</v>
      </c>
      <c r="B4" s="3" t="s">
        <v>459</v>
      </c>
      <c r="C4" s="3" t="s">
        <v>447</v>
      </c>
      <c r="D4" s="3" t="s">
        <v>21</v>
      </c>
      <c r="E4" s="3" t="s">
        <v>460</v>
      </c>
      <c r="F4" s="4">
        <f>ROUND(IFERROR(100*'Group Inputs'!G4/'Group Inputs'!E4,0),2)</f>
        <v>95.22</v>
      </c>
      <c r="G4" s="4">
        <f>ROUND(IFERROR(100*'Group Inputs'!G5/'Group Inputs'!E5,0),2)</f>
        <v>88.71</v>
      </c>
      <c r="H4" s="4">
        <f>ROUND(IFERROR(100*'Group Inputs'!G6/'Group Inputs'!E6,0),2)</f>
        <v>94.06</v>
      </c>
      <c r="I4" s="4">
        <f>ROUND(IFERROR(100*'Group Inputs'!G7/'Group Inputs'!E7,0),2)</f>
        <v>93.6</v>
      </c>
      <c r="J4" s="4">
        <f>ROUND(IFERROR(100*'Group Inputs'!G8/'Group Inputs'!E8,0),2)</f>
        <v>90.1</v>
      </c>
      <c r="K4" s="4">
        <f>ROUND(IFERROR(100*'Group Inputs'!G9/'Group Inputs'!E9,0),2)</f>
        <v>93.64</v>
      </c>
      <c r="L4" s="3" t="s">
        <v>461</v>
      </c>
      <c r="M4" s="3"/>
      <c r="N4" s="3" t="s">
        <v>462</v>
      </c>
    </row>
    <row r="5" spans="1:14">
      <c r="A5" s="2" t="s">
        <v>463</v>
      </c>
      <c r="B5" s="3" t="s">
        <v>464</v>
      </c>
      <c r="C5" s="3" t="s">
        <v>447</v>
      </c>
      <c r="D5" s="3" t="s">
        <v>21</v>
      </c>
      <c r="E5" s="3" t="s">
        <v>465</v>
      </c>
      <c r="F5" s="4">
        <f>ROUND(IFERROR(100*'Group Inputs'!M4/'Group Inputs'!I4,0),2)</f>
        <v>84.74</v>
      </c>
      <c r="G5" s="4">
        <f>ROUND(IFERROR(100*'Group Inputs'!M5/'Group Inputs'!I5,0),2)</f>
        <v>81.53</v>
      </c>
      <c r="H5" s="4">
        <f>ROUND(IFERROR(100*'Group Inputs'!M6/'Group Inputs'!I6,0),2)</f>
        <v>80.23</v>
      </c>
      <c r="I5" s="4">
        <f>ROUND(IFERROR(100*'Group Inputs'!M7/'Group Inputs'!I7,0),2)</f>
        <v>82.78</v>
      </c>
      <c r="J5" s="4">
        <f>ROUND(IFERROR(100*'Group Inputs'!M8/'Group Inputs'!I8,0),2)</f>
        <v>82.21</v>
      </c>
      <c r="K5" s="4">
        <f>ROUND(IFERROR(100*'Group Inputs'!M9/'Group Inputs'!I9,0),2)</f>
        <v>84.07</v>
      </c>
      <c r="L5" s="3" t="s">
        <v>466</v>
      </c>
      <c r="M5" s="3" t="s">
        <v>467</v>
      </c>
      <c r="N5" s="3" t="s">
        <v>468</v>
      </c>
    </row>
    <row r="6" spans="1:14">
      <c r="A6" s="2" t="s">
        <v>469</v>
      </c>
      <c r="B6" s="3" t="s">
        <v>470</v>
      </c>
      <c r="C6" s="3" t="s">
        <v>447</v>
      </c>
      <c r="D6" s="3" t="s">
        <v>21</v>
      </c>
      <c r="E6" s="3" t="s">
        <v>471</v>
      </c>
      <c r="F6" s="4">
        <f>ROUND(IFERROR(100*'Group Inputs'!P4/'Group Inputs'!O4,0),2)</f>
        <v>86.99</v>
      </c>
      <c r="G6" s="4">
        <f>ROUND(IFERROR(100*'Group Inputs'!P5/'Group Inputs'!O5,0),2)</f>
        <v>86.1</v>
      </c>
      <c r="H6" s="4">
        <f>ROUND(IFERROR(100*'Group Inputs'!P6/'Group Inputs'!O6,0),2)</f>
        <v>88.15</v>
      </c>
      <c r="I6" s="4">
        <f>ROUND(IFERROR(100*'Group Inputs'!P7/'Group Inputs'!O7,0),2)</f>
        <v>87.16</v>
      </c>
      <c r="J6" s="4">
        <f>ROUND(IFERROR(100*'Group Inputs'!P8/'Group Inputs'!O8,0),2)</f>
        <v>88.51</v>
      </c>
      <c r="K6" s="4">
        <f>ROUND(IFERROR(100*'Group Inputs'!P9/'Group Inputs'!O9,0),2)</f>
        <v>87.35</v>
      </c>
      <c r="L6" s="3" t="s">
        <v>461</v>
      </c>
      <c r="M6" s="3"/>
      <c r="N6" s="3" t="s">
        <v>472</v>
      </c>
    </row>
    <row r="7" spans="1:14">
      <c r="A7" s="2" t="s">
        <v>473</v>
      </c>
      <c r="B7" s="3" t="s">
        <v>474</v>
      </c>
      <c r="C7" s="3" t="s">
        <v>447</v>
      </c>
      <c r="D7" s="3" t="s">
        <v>21</v>
      </c>
      <c r="E7" s="3" t="s">
        <v>475</v>
      </c>
      <c r="F7" s="4">
        <f>ROUND(IFERROR(100*'Group Inputs'!M4/'Group Inputs'!N4,0),2)</f>
        <v>90.5</v>
      </c>
      <c r="G7" s="4">
        <f>ROUND(IFERROR(100*'Group Inputs'!M5/'Group Inputs'!N5,0),2)</f>
        <v>92.35</v>
      </c>
      <c r="H7" s="4">
        <f>ROUND(IFERROR(100*'Group Inputs'!M6/'Group Inputs'!N6,0),2)</f>
        <v>91.47</v>
      </c>
      <c r="I7" s="4">
        <f>ROUND(IFERROR(100*'Group Inputs'!M7/'Group Inputs'!N7,0),2)</f>
        <v>91.45</v>
      </c>
      <c r="J7" s="4">
        <f>ROUND(IFERROR(100*'Group Inputs'!M8/'Group Inputs'!N8,0),2)</f>
        <v>91.09</v>
      </c>
      <c r="K7" s="4">
        <f>ROUND(IFERROR(100*'Group Inputs'!M9/'Group Inputs'!N9,0),2)</f>
        <v>91.93</v>
      </c>
      <c r="L7" s="3" t="s">
        <v>461</v>
      </c>
      <c r="M7" s="3"/>
      <c r="N7" s="3" t="s">
        <v>476</v>
      </c>
    </row>
    <row r="8" spans="1:14">
      <c r="A8" s="2" t="s">
        <v>477</v>
      </c>
      <c r="B8" s="3" t="s">
        <v>478</v>
      </c>
      <c r="C8" s="3" t="s">
        <v>479</v>
      </c>
      <c r="D8" s="3" t="s">
        <v>21</v>
      </c>
      <c r="E8" s="3" t="s">
        <v>480</v>
      </c>
      <c r="F8" s="4">
        <f>ROUND(IFERROR('Group Inputs'!G4/'Group Inputs'!R4,0),2)</f>
        <v>293.82</v>
      </c>
      <c r="G8" s="4">
        <f>ROUND(IFERROR('Group Inputs'!G5/'Group Inputs'!R5,0),2)</f>
        <v>188.58</v>
      </c>
      <c r="H8" s="4">
        <f>ROUND(IFERROR('Group Inputs'!G6/'Group Inputs'!R6,0),2)</f>
        <v>239.02</v>
      </c>
      <c r="I8" s="4">
        <f>ROUND(IFERROR('Group Inputs'!G7/'Group Inputs'!R7,0),2)</f>
        <v>189.91</v>
      </c>
      <c r="J8" s="4">
        <f>ROUND(IFERROR('Group Inputs'!G8/'Group Inputs'!R8,0),2)</f>
        <v>211.68</v>
      </c>
      <c r="K8" s="4">
        <f>ROUND(IFERROR('Group Inputs'!G9/'Group Inputs'!R9,0),2)</f>
        <v>269.69</v>
      </c>
      <c r="L8" s="3" t="s">
        <v>481</v>
      </c>
      <c r="M8" s="3" t="s">
        <v>482</v>
      </c>
      <c r="N8" s="3" t="s">
        <v>483</v>
      </c>
    </row>
    <row r="9" spans="1:14">
      <c r="A9" s="2" t="s">
        <v>484</v>
      </c>
      <c r="B9" s="3" t="s">
        <v>485</v>
      </c>
      <c r="C9" s="3" t="s">
        <v>479</v>
      </c>
      <c r="D9" s="3" t="s">
        <v>21</v>
      </c>
      <c r="E9" s="3" t="s">
        <v>486</v>
      </c>
      <c r="F9" s="4">
        <f>ROUND(IFERROR('Group Inputs'!S4/'Group Inputs'!R4,0),2)</f>
        <v>5.08</v>
      </c>
      <c r="G9" s="4">
        <f>ROUND(IFERROR('Group Inputs'!S5/'Group Inputs'!R5,0),2)</f>
        <v>6.16</v>
      </c>
      <c r="H9" s="4">
        <f>ROUND(IFERROR('Group Inputs'!S6/'Group Inputs'!R6,0),2)</f>
        <v>6.58</v>
      </c>
      <c r="I9" s="4">
        <f>ROUND(IFERROR('Group Inputs'!S7/'Group Inputs'!R7,0),2)</f>
        <v>6.69</v>
      </c>
      <c r="J9" s="4">
        <f>ROUND(IFERROR('Group Inputs'!S8/'Group Inputs'!R8,0),2)</f>
        <v>6.91</v>
      </c>
      <c r="K9" s="4">
        <f>ROUND(IFERROR('Group Inputs'!S9/'Group Inputs'!R9,0),2)</f>
        <v>7.83</v>
      </c>
      <c r="L9" s="3" t="s">
        <v>487</v>
      </c>
      <c r="M9" s="3" t="s">
        <v>482</v>
      </c>
      <c r="N9" s="3" t="s">
        <v>488</v>
      </c>
    </row>
    <row r="10" spans="1:14">
      <c r="A10" s="2" t="s">
        <v>489</v>
      </c>
      <c r="B10" s="3" t="s">
        <v>490</v>
      </c>
      <c r="C10" s="3" t="s">
        <v>479</v>
      </c>
      <c r="D10" s="3" t="s">
        <v>21</v>
      </c>
      <c r="E10" s="3" t="s">
        <v>490</v>
      </c>
      <c r="F10" s="4">
        <f>ROUND('Group Inputs'!H4,2)</f>
        <v>103.9</v>
      </c>
      <c r="G10" s="4">
        <f>ROUND('Group Inputs'!H5,2)</f>
        <v>167.9</v>
      </c>
      <c r="H10" s="4">
        <f>ROUND('Group Inputs'!H6,2)</f>
        <v>142.0</v>
      </c>
      <c r="I10" s="4">
        <f>ROUND('Group Inputs'!H7,2)</f>
        <v>185.3</v>
      </c>
      <c r="J10" s="4">
        <f>ROUND('Group Inputs'!H8,2)</f>
        <v>164.0</v>
      </c>
      <c r="K10" s="4">
        <f>ROUND('Group Inputs'!H9,2)</f>
        <v>154.4</v>
      </c>
      <c r="L10" s="3" t="s">
        <v>491</v>
      </c>
      <c r="M10" s="3" t="s">
        <v>482</v>
      </c>
      <c r="N10" s="3" t="s">
        <v>33</v>
      </c>
    </row>
    <row r="11" spans="1:14">
      <c r="A11" s="2" t="s">
        <v>492</v>
      </c>
      <c r="B11" s="3" t="s">
        <v>493</v>
      </c>
      <c r="C11" s="3" t="s">
        <v>494</v>
      </c>
      <c r="D11" s="3" t="s">
        <v>21</v>
      </c>
      <c r="E11" s="3" t="s">
        <v>495</v>
      </c>
      <c r="F11" s="4">
        <f>ROUND('Group Inputs'!Q4,2)</f>
        <v>18729.0</v>
      </c>
      <c r="G11" s="4">
        <f>ROUND('Group Inputs'!Q5,2)</f>
        <v>28641.0</v>
      </c>
      <c r="H11" s="4">
        <f>ROUND('Group Inputs'!Q6,2)</f>
        <v>24878.0</v>
      </c>
      <c r="I11" s="4">
        <f>ROUND('Group Inputs'!Q7,2)</f>
        <v>32847.0</v>
      </c>
      <c r="J11" s="4">
        <f>ROUND('Group Inputs'!Q8,2)</f>
        <v>30108.0</v>
      </c>
      <c r="K11" s="4">
        <f>ROUND('Group Inputs'!Q9,2)</f>
        <v>27176.0</v>
      </c>
      <c r="L11" s="3" t="s">
        <v>496</v>
      </c>
      <c r="M11" s="3" t="s">
        <v>497</v>
      </c>
      <c r="N11" s="3" t="s">
        <v>51</v>
      </c>
    </row>
    <row r="12" spans="1:14">
      <c r="A12" s="2" t="s">
        <v>498</v>
      </c>
      <c r="B12" s="3" t="s">
        <v>499</v>
      </c>
      <c r="C12" s="3" t="s">
        <v>447</v>
      </c>
      <c r="D12" s="3" t="s">
        <v>21</v>
      </c>
      <c r="E12" s="3" t="s">
        <v>500</v>
      </c>
      <c r="F12" s="4">
        <f>ROUND(IFERROR(100*'Group Inputs'!U4/'Group Inputs'!T4,0),2)</f>
        <v>93.46</v>
      </c>
      <c r="G12" s="4">
        <f>ROUND(IFERROR(100*'Group Inputs'!U5/'Group Inputs'!T5,0),2)</f>
        <v>92.73</v>
      </c>
      <c r="H12" s="4">
        <f>ROUND(IFERROR(100*'Group Inputs'!U6/'Group Inputs'!T6,0),2)</f>
        <v>94.68</v>
      </c>
      <c r="I12" s="4">
        <f>ROUND(IFERROR(100*'Group Inputs'!U7/'Group Inputs'!T7,0),2)</f>
        <v>92.55</v>
      </c>
      <c r="J12" s="4">
        <f>ROUND(IFERROR(100*'Group Inputs'!U8/'Group Inputs'!T8,0),2)</f>
        <v>98.28</v>
      </c>
      <c r="K12" s="4">
        <f>ROUND(IFERROR(100*'Group Inputs'!U9/'Group Inputs'!T9,0),2)</f>
        <v>95.62</v>
      </c>
      <c r="L12" s="3" t="s">
        <v>496</v>
      </c>
      <c r="M12" s="3" t="s">
        <v>501</v>
      </c>
      <c r="N12" s="3" t="s">
        <v>502</v>
      </c>
    </row>
    <row r="13" spans="1:14">
      <c r="A13" s="2" t="s">
        <v>503</v>
      </c>
      <c r="B13" s="3" t="s">
        <v>504</v>
      </c>
      <c r="C13" s="3" t="s">
        <v>505</v>
      </c>
      <c r="D13" s="3" t="s">
        <v>21</v>
      </c>
      <c r="E13" s="3" t="s">
        <v>506</v>
      </c>
      <c r="F13" s="4">
        <f>ROUND(IFERROR(1000*('Group Inputs'!V4+'Group Inputs'!X4)/'Group Inputs'!M4,0),2)</f>
        <v>3046.73</v>
      </c>
      <c r="G13" s="4">
        <f>ROUND(IFERROR(1000*('Group Inputs'!V5+'Group Inputs'!X5)/'Group Inputs'!M5,0),2)</f>
        <v>3159.42</v>
      </c>
      <c r="H13" s="4">
        <f>ROUND(IFERROR(1000*('Group Inputs'!V6+'Group Inputs'!X6)/'Group Inputs'!M6,0),2)</f>
        <v>3165.25</v>
      </c>
      <c r="I13" s="4">
        <f>ROUND(IFERROR(1000*('Group Inputs'!V7+'Group Inputs'!X7)/'Group Inputs'!M7,0),2)</f>
        <v>3100.89</v>
      </c>
      <c r="J13" s="4">
        <f>ROUND(IFERROR(1000*('Group Inputs'!V8+'Group Inputs'!X8)/'Group Inputs'!M8,0),2)</f>
        <v>3164.76</v>
      </c>
      <c r="K13" s="4">
        <f>ROUND(IFERROR(1000*('Group Inputs'!V9+'Group Inputs'!X9)/'Group Inputs'!M9,0),2)</f>
        <v>2933.74</v>
      </c>
      <c r="L13" s="3" t="s">
        <v>507</v>
      </c>
      <c r="M13" s="3" t="s">
        <v>508</v>
      </c>
      <c r="N13" s="3" t="s">
        <v>509</v>
      </c>
    </row>
    <row r="14" spans="1:14">
      <c r="A14" s="2" t="s">
        <v>510</v>
      </c>
      <c r="B14" s="3" t="s">
        <v>511</v>
      </c>
      <c r="C14" s="3" t="s">
        <v>512</v>
      </c>
      <c r="D14" s="3" t="s">
        <v>21</v>
      </c>
      <c r="E14" s="3" t="s">
        <v>511</v>
      </c>
      <c r="F14" s="4">
        <f>ROUND('Group Inputs'!V4,2)</f>
        <v>1911388.7</v>
      </c>
      <c r="G14" s="4">
        <f>ROUND('Group Inputs'!V5,2)</f>
        <v>1857317.9</v>
      </c>
      <c r="H14" s="4">
        <f>ROUND('Group Inputs'!V6,2)</f>
        <v>1886763.2</v>
      </c>
      <c r="I14" s="4">
        <f>ROUND('Group Inputs'!V7,2)</f>
        <v>1970228.4</v>
      </c>
      <c r="J14" s="4">
        <f>ROUND('Group Inputs'!V8,2)</f>
        <v>1926079.2</v>
      </c>
      <c r="K14" s="4">
        <f>ROUND('Group Inputs'!V9,2)</f>
        <v>1827824.8</v>
      </c>
      <c r="L14" s="3" t="s">
        <v>513</v>
      </c>
      <c r="M14" s="3" t="s">
        <v>514</v>
      </c>
      <c r="N14" s="3" t="s">
        <v>61</v>
      </c>
    </row>
    <row r="15" spans="1:14">
      <c r="A15" s="2" t="s">
        <v>515</v>
      </c>
      <c r="B15" s="3" t="s">
        <v>516</v>
      </c>
      <c r="C15" s="3" t="s">
        <v>512</v>
      </c>
      <c r="D15" s="3" t="s">
        <v>21</v>
      </c>
      <c r="E15" s="3" t="s">
        <v>516</v>
      </c>
      <c r="F15" s="4">
        <f>ROUND('Group Inputs'!W4,2)</f>
        <v>490330.5</v>
      </c>
      <c r="G15" s="4">
        <f>ROUND('Group Inputs'!W5,2)</f>
        <v>492350.2</v>
      </c>
      <c r="H15" s="4">
        <f>ROUND('Group Inputs'!W6,2)</f>
        <v>514853.4</v>
      </c>
      <c r="I15" s="4">
        <f>ROUND('Group Inputs'!W7,2)</f>
        <v>564124.2</v>
      </c>
      <c r="J15" s="4">
        <f>ROUND('Group Inputs'!W8,2)</f>
        <v>544908.7</v>
      </c>
      <c r="K15" s="4">
        <f>ROUND('Group Inputs'!W9,2)</f>
        <v>459369.3</v>
      </c>
      <c r="L15" s="3" t="s">
        <v>517</v>
      </c>
      <c r="M15" s="3" t="s">
        <v>518</v>
      </c>
      <c r="N15" s="3" t="s">
        <v>63</v>
      </c>
    </row>
    <row r="16" spans="1:14">
      <c r="A16" s="2" t="s">
        <v>519</v>
      </c>
      <c r="B16" s="3" t="s">
        <v>520</v>
      </c>
      <c r="C16" s="3" t="s">
        <v>521</v>
      </c>
      <c r="D16" s="3" t="s">
        <v>21</v>
      </c>
      <c r="E16" s="3" t="s">
        <v>522</v>
      </c>
      <c r="F16" s="4">
        <f>ROUND('Group Inputs'!Y4,2)</f>
        <v>1352732.0</v>
      </c>
      <c r="G16" s="4">
        <f>ROUND('Group Inputs'!Y5,2)</f>
        <v>1282066.0</v>
      </c>
      <c r="H16" s="4">
        <f>ROUND('Group Inputs'!Y6,2)</f>
        <v>1245659.0</v>
      </c>
      <c r="I16" s="4">
        <f>ROUND('Group Inputs'!Y7,2)</f>
        <v>1399278.0</v>
      </c>
      <c r="J16" s="4">
        <f>ROUND('Group Inputs'!Y8,2)</f>
        <v>1363699.0</v>
      </c>
      <c r="K16" s="4">
        <f>ROUND('Group Inputs'!Y9,2)</f>
        <v>1450141.0</v>
      </c>
      <c r="L16" s="3" t="s">
        <v>523</v>
      </c>
      <c r="M16" s="3" t="s">
        <v>524</v>
      </c>
      <c r="N16" s="3" t="s">
        <v>67</v>
      </c>
    </row>
    <row r="17" spans="1:14">
      <c r="A17" s="2" t="s">
        <v>525</v>
      </c>
      <c r="B17" s="3" t="s">
        <v>526</v>
      </c>
      <c r="C17" s="3" t="s">
        <v>527</v>
      </c>
      <c r="D17" s="3" t="s">
        <v>21</v>
      </c>
      <c r="E17" s="3" t="s">
        <v>526</v>
      </c>
      <c r="F17" s="4">
        <f>ROUND('Group Inputs'!Z4,2)</f>
        <v>425627.0</v>
      </c>
      <c r="G17" s="4">
        <f>ROUND('Group Inputs'!Z5,2)</f>
        <v>382393.0</v>
      </c>
      <c r="H17" s="4">
        <f>ROUND('Group Inputs'!Z6,2)</f>
        <v>374121.0</v>
      </c>
      <c r="I17" s="4">
        <f>ROUND('Group Inputs'!Z7,2)</f>
        <v>397386.0</v>
      </c>
      <c r="J17" s="4">
        <f>ROUND('Group Inputs'!Z8,2)</f>
        <v>410412.0</v>
      </c>
      <c r="K17" s="4">
        <f>ROUND('Group Inputs'!Z9,2)</f>
        <v>427664.0</v>
      </c>
      <c r="L17" s="3" t="s">
        <v>528</v>
      </c>
      <c r="M17" s="3" t="s">
        <v>524</v>
      </c>
      <c r="N17" s="3" t="s">
        <v>69</v>
      </c>
    </row>
    <row r="18" spans="1:14">
      <c r="A18" s="2" t="s">
        <v>529</v>
      </c>
      <c r="B18" s="3" t="s">
        <v>530</v>
      </c>
      <c r="C18" s="3" t="s">
        <v>531</v>
      </c>
      <c r="D18" s="3" t="s">
        <v>21</v>
      </c>
      <c r="E18" s="3" t="s">
        <v>532</v>
      </c>
      <c r="F18" s="4">
        <f>ROUND(IFERROR('Group Inputs'!AA4/'Group Inputs'!M4,0),2)</f>
        <v>3.37</v>
      </c>
      <c r="G18" s="4">
        <f>ROUND(IFERROR('Group Inputs'!AA5/'Group Inputs'!M5,0),2)</f>
        <v>3.18</v>
      </c>
      <c r="H18" s="4">
        <f>ROUND(IFERROR('Group Inputs'!AA6/'Group Inputs'!M6,0),2)</f>
        <v>3.26</v>
      </c>
      <c r="I18" s="4">
        <f>ROUND(IFERROR('Group Inputs'!AA7/'Group Inputs'!M7,0),2)</f>
        <v>3.25</v>
      </c>
      <c r="J18" s="4">
        <f>ROUND(IFERROR('Group Inputs'!AA8/'Group Inputs'!M8,0),2)</f>
        <v>3.52</v>
      </c>
      <c r="K18" s="4">
        <f>ROUND(IFERROR('Group Inputs'!AA9/'Group Inputs'!M9,0),2)</f>
        <v>3.42</v>
      </c>
      <c r="L18" s="3" t="s">
        <v>533</v>
      </c>
      <c r="M18" s="3" t="s">
        <v>524</v>
      </c>
      <c r="N18" s="3" t="s">
        <v>534</v>
      </c>
    </row>
    <row r="19" spans="1:14">
      <c r="A19" s="2" t="s">
        <v>535</v>
      </c>
      <c r="B19" s="3" t="s">
        <v>536</v>
      </c>
      <c r="C19" s="3" t="s">
        <v>494</v>
      </c>
      <c r="D19" s="3" t="s">
        <v>21</v>
      </c>
      <c r="E19" s="3" t="s">
        <v>536</v>
      </c>
      <c r="F19" s="4">
        <f>ROUND('Group Inputs'!AB4,2)</f>
        <v>28497.0</v>
      </c>
      <c r="G19" s="4">
        <f>ROUND('Group Inputs'!AB5,2)</f>
        <v>55870.0</v>
      </c>
      <c r="H19" s="4">
        <f>ROUND('Group Inputs'!AB6,2)</f>
        <v>72181.0</v>
      </c>
      <c r="I19" s="4">
        <f>ROUND('Group Inputs'!AB7,2)</f>
        <v>38527.0</v>
      </c>
      <c r="J19" s="4">
        <f>ROUND('Group Inputs'!AB8,2)</f>
        <v>44820.0</v>
      </c>
      <c r="K19" s="4">
        <f>ROUND('Group Inputs'!AB9,2)</f>
        <v>36810.0</v>
      </c>
      <c r="L19" s="3" t="s">
        <v>461</v>
      </c>
      <c r="M19" s="3"/>
      <c r="N19" s="3" t="s">
        <v>73</v>
      </c>
    </row>
    <row r="20" spans="1:14">
      <c r="A20" s="2" t="s">
        <v>537</v>
      </c>
      <c r="B20" s="3" t="s">
        <v>538</v>
      </c>
      <c r="C20" s="3" t="s">
        <v>539</v>
      </c>
      <c r="D20" s="3" t="s">
        <v>21</v>
      </c>
      <c r="E20" s="3" t="s">
        <v>540</v>
      </c>
      <c r="F20" s="4">
        <f>ROUND('Group Inputs'!AC4,2)</f>
        <v>8.0</v>
      </c>
      <c r="G20" s="4">
        <f>ROUND('Group Inputs'!AC5,2)</f>
        <v>6.0</v>
      </c>
      <c r="H20" s="4">
        <f>ROUND('Group Inputs'!AC6,2)</f>
        <v>9.0</v>
      </c>
      <c r="I20" s="4">
        <f>ROUND('Group Inputs'!AC7,2)</f>
        <v>3.0</v>
      </c>
      <c r="J20" s="4">
        <f>ROUND('Group Inputs'!AC8,2)</f>
        <v>11.0</v>
      </c>
      <c r="K20" s="4">
        <f>ROUND('Group Inputs'!AC9,2)</f>
        <v>7.0</v>
      </c>
      <c r="L20" s="3" t="s">
        <v>461</v>
      </c>
      <c r="M20" s="3"/>
      <c r="N20" s="3" t="s">
        <v>75</v>
      </c>
    </row>
    <row r="21" spans="1:14">
      <c r="A21" s="2" t="s">
        <v>541</v>
      </c>
      <c r="B21" s="3" t="s">
        <v>542</v>
      </c>
      <c r="C21" s="3" t="s">
        <v>539</v>
      </c>
      <c r="D21" s="3" t="s">
        <v>21</v>
      </c>
      <c r="E21" s="3" t="s">
        <v>543</v>
      </c>
      <c r="F21" s="4">
        <f>ROUND('Group Inputs'!AO4,2)</f>
        <v>3.0</v>
      </c>
      <c r="G21" s="4">
        <f>ROUND('Group Inputs'!AO5,2)</f>
        <v>3.0</v>
      </c>
      <c r="H21" s="4">
        <f>ROUND('Group Inputs'!AO6,2)</f>
        <v>1.0</v>
      </c>
      <c r="I21" s="4">
        <f>ROUND('Group Inputs'!AO7,2)</f>
        <v>6.0</v>
      </c>
      <c r="J21" s="4">
        <f>ROUND('Group Inputs'!AO8,2)</f>
        <v>6.0</v>
      </c>
      <c r="K21" s="4">
        <f>ROUND('Group Inputs'!AO9,2)</f>
        <v>5.0</v>
      </c>
      <c r="L21" s="3" t="s">
        <v>544</v>
      </c>
      <c r="M21" s="3" t="s">
        <v>545</v>
      </c>
      <c r="N21" s="3" t="s">
        <v>99</v>
      </c>
    </row>
    <row r="22" spans="1:14">
      <c r="A22" s="2" t="s">
        <v>546</v>
      </c>
      <c r="B22" s="3" t="s">
        <v>547</v>
      </c>
      <c r="C22" s="3" t="s">
        <v>447</v>
      </c>
      <c r="D22" s="3" t="s">
        <v>21</v>
      </c>
      <c r="E22" s="3" t="s">
        <v>548</v>
      </c>
      <c r="F22" s="4">
        <f>ROUND(IFERROR(100*'Group Inputs'!AQ4/'Group Inputs'!AP4,0),2)</f>
        <v>5.98</v>
      </c>
      <c r="G22" s="4">
        <f>ROUND(IFERROR(100*'Group Inputs'!AQ5/'Group Inputs'!AP5,0),2)</f>
        <v>7.08</v>
      </c>
      <c r="H22" s="4">
        <f>ROUND(IFERROR(100*'Group Inputs'!AQ6/'Group Inputs'!AP6,0),2)</f>
        <v>7.48</v>
      </c>
      <c r="I22" s="4">
        <f>ROUND(IFERROR(100*'Group Inputs'!AQ7/'Group Inputs'!AP7,0),2)</f>
        <v>7.98</v>
      </c>
      <c r="J22" s="4">
        <f>ROUND(IFERROR(100*'Group Inputs'!AQ8/'Group Inputs'!AP8,0),2)</f>
        <v>7.63</v>
      </c>
      <c r="K22" s="4">
        <f>ROUND(IFERROR(100*'Group Inputs'!AQ9/'Group Inputs'!AP9,0),2)</f>
        <v>8.66</v>
      </c>
      <c r="L22" s="3" t="s">
        <v>549</v>
      </c>
      <c r="M22" s="3" t="s">
        <v>550</v>
      </c>
      <c r="N22" s="3" t="s">
        <v>551</v>
      </c>
    </row>
    <row r="23" spans="1:14">
      <c r="A23" s="2" t="s">
        <v>552</v>
      </c>
      <c r="B23" s="3" t="s">
        <v>553</v>
      </c>
      <c r="C23" s="3" t="s">
        <v>539</v>
      </c>
      <c r="D23" s="3" t="s">
        <v>21</v>
      </c>
      <c r="E23" s="3" t="s">
        <v>553</v>
      </c>
      <c r="F23" s="4">
        <f>ROUND('Group Inputs'!AJ4,2)</f>
        <v>1.0</v>
      </c>
      <c r="G23" s="4">
        <f>ROUND('Group Inputs'!AJ5,2)</f>
        <v>0.0</v>
      </c>
      <c r="H23" s="4">
        <f>ROUND('Group Inputs'!AJ6,2)</f>
        <v>1.0</v>
      </c>
      <c r="I23" s="4">
        <f>ROUND('Group Inputs'!AJ7,2)</f>
        <v>0.0</v>
      </c>
      <c r="J23" s="4">
        <f>ROUND('Group Inputs'!AJ8,2)</f>
        <v>0.0</v>
      </c>
      <c r="K23" s="4">
        <f>ROUND('Group Inputs'!AJ9,2)</f>
        <v>0.0</v>
      </c>
      <c r="L23" s="3" t="s">
        <v>461</v>
      </c>
      <c r="M23" s="3"/>
      <c r="N23" s="3" t="s">
        <v>89</v>
      </c>
    </row>
    <row r="24" spans="1:14">
      <c r="A24" s="2" t="s">
        <v>554</v>
      </c>
      <c r="B24" s="3" t="s">
        <v>555</v>
      </c>
      <c r="C24" s="3" t="s">
        <v>556</v>
      </c>
      <c r="D24" s="3" t="s">
        <v>21</v>
      </c>
      <c r="E24" s="3" t="s">
        <v>557</v>
      </c>
      <c r="F24" s="4">
        <f>ROUND(IFERROR(200000*'Group Inputs'!AE4/'Group Inputs'!AD4,0),2)</f>
        <v>0.87</v>
      </c>
      <c r="G24" s="4">
        <f>ROUND(IFERROR(200000*'Group Inputs'!AE5/'Group Inputs'!AD5,0),2)</f>
        <v>1.87</v>
      </c>
      <c r="H24" s="4">
        <f>ROUND(IFERROR(200000*'Group Inputs'!AE6/'Group Inputs'!AD6,0),2)</f>
        <v>2.26</v>
      </c>
      <c r="I24" s="4">
        <f>ROUND(IFERROR(200000*'Group Inputs'!AE7/'Group Inputs'!AD7,0),2)</f>
        <v>1.35</v>
      </c>
      <c r="J24" s="4">
        <f>ROUND(IFERROR(200000*'Group Inputs'!AE8/'Group Inputs'!AD8,0),2)</f>
        <v>1.55</v>
      </c>
      <c r="K24" s="4">
        <f>ROUND(IFERROR(200000*'Group Inputs'!AE9/'Group Inputs'!AD9,0),2)</f>
        <v>0.47</v>
      </c>
      <c r="L24" s="3" t="s">
        <v>558</v>
      </c>
      <c r="M24" s="3" t="s">
        <v>559</v>
      </c>
      <c r="N24" s="3" t="s">
        <v>560</v>
      </c>
    </row>
    <row r="25" spans="1:14">
      <c r="A25" s="2" t="s">
        <v>561</v>
      </c>
      <c r="B25" s="3" t="s">
        <v>562</v>
      </c>
      <c r="C25" s="3" t="s">
        <v>539</v>
      </c>
      <c r="D25" s="3" t="s">
        <v>21</v>
      </c>
      <c r="E25" s="3" t="s">
        <v>562</v>
      </c>
      <c r="F25" s="4">
        <f>ROUND('Group Inputs'!AF4,2)</f>
        <v>1.0</v>
      </c>
      <c r="G25" s="4">
        <f>ROUND('Group Inputs'!AF5,2)</f>
        <v>1.0</v>
      </c>
      <c r="H25" s="4">
        <f>ROUND('Group Inputs'!AF6,2)</f>
        <v>0.0</v>
      </c>
      <c r="I25" s="4">
        <f>ROUND('Group Inputs'!AF7,2)</f>
        <v>2.0</v>
      </c>
      <c r="J25" s="4">
        <f>ROUND('Group Inputs'!AF8,2)</f>
        <v>1.0</v>
      </c>
      <c r="K25" s="4">
        <f>ROUND('Group Inputs'!AF9,2)</f>
        <v>3.0</v>
      </c>
      <c r="L25" s="3" t="s">
        <v>563</v>
      </c>
      <c r="M25" s="3" t="s">
        <v>564</v>
      </c>
      <c r="N25" s="3" t="s">
        <v>81</v>
      </c>
    </row>
    <row r="26" spans="1:14">
      <c r="A26" s="2" t="s">
        <v>565</v>
      </c>
      <c r="B26" s="3" t="s">
        <v>566</v>
      </c>
      <c r="C26" s="3" t="s">
        <v>539</v>
      </c>
      <c r="D26" s="3" t="s">
        <v>21</v>
      </c>
      <c r="E26" s="3" t="s">
        <v>566</v>
      </c>
      <c r="F26" s="4">
        <f>ROUND('Group Inputs'!AG4,2)</f>
        <v>39.0</v>
      </c>
      <c r="G26" s="4">
        <f>ROUND('Group Inputs'!AG5,2)</f>
        <v>46.0</v>
      </c>
      <c r="H26" s="4">
        <f>ROUND('Group Inputs'!AG6,2)</f>
        <v>44.0</v>
      </c>
      <c r="I26" s="4">
        <f>ROUND('Group Inputs'!AG7,2)</f>
        <v>32.0</v>
      </c>
      <c r="J26" s="4">
        <f>ROUND('Group Inputs'!AG8,2)</f>
        <v>42.0</v>
      </c>
      <c r="K26" s="4">
        <f>ROUND('Group Inputs'!AG9,2)</f>
        <v>41.0</v>
      </c>
      <c r="L26" s="3" t="s">
        <v>567</v>
      </c>
      <c r="M26" s="3" t="s">
        <v>559</v>
      </c>
      <c r="N26" s="3" t="s">
        <v>83</v>
      </c>
    </row>
    <row r="27" spans="1:14">
      <c r="A27" s="2" t="s">
        <v>568</v>
      </c>
      <c r="B27" s="3" t="s">
        <v>569</v>
      </c>
      <c r="C27" s="3" t="s">
        <v>539</v>
      </c>
      <c r="D27" s="3" t="s">
        <v>21</v>
      </c>
      <c r="E27" s="3" t="s">
        <v>569</v>
      </c>
      <c r="F27" s="4">
        <f>ROUND('Group Inputs'!AH4,2)</f>
        <v>0.0</v>
      </c>
      <c r="G27" s="4">
        <f>ROUND('Group Inputs'!AH5,2)</f>
        <v>1.0</v>
      </c>
      <c r="H27" s="4">
        <f>ROUND('Group Inputs'!AH6,2)</f>
        <v>0.0</v>
      </c>
      <c r="I27" s="4">
        <f>ROUND('Group Inputs'!AH7,2)</f>
        <v>0.0</v>
      </c>
      <c r="J27" s="4">
        <f>ROUND('Group Inputs'!AH8,2)</f>
        <v>1.0</v>
      </c>
      <c r="K27" s="4">
        <f>ROUND('Group Inputs'!AH9,2)</f>
        <v>0.0</v>
      </c>
      <c r="L27" s="3" t="s">
        <v>563</v>
      </c>
      <c r="M27" s="3" t="s">
        <v>559</v>
      </c>
      <c r="N27" s="3" t="s">
        <v>85</v>
      </c>
    </row>
    <row r="28" spans="1:14">
      <c r="A28" s="2" t="s">
        <v>570</v>
      </c>
      <c r="B28" s="3" t="s">
        <v>571</v>
      </c>
      <c r="C28" s="3" t="s">
        <v>539</v>
      </c>
      <c r="D28" s="3" t="s">
        <v>21</v>
      </c>
      <c r="E28" s="3" t="s">
        <v>571</v>
      </c>
      <c r="F28" s="4">
        <f>ROUND('Group Inputs'!AI4,2)</f>
        <v>2.0</v>
      </c>
      <c r="G28" s="4">
        <f>ROUND('Group Inputs'!AI5,2)</f>
        <v>1.0</v>
      </c>
      <c r="H28" s="4">
        <f>ROUND('Group Inputs'!AI6,2)</f>
        <v>1.0</v>
      </c>
      <c r="I28" s="4">
        <f>ROUND('Group Inputs'!AI7,2)</f>
        <v>3.0</v>
      </c>
      <c r="J28" s="4">
        <f>ROUND('Group Inputs'!AI8,2)</f>
        <v>1.0</v>
      </c>
      <c r="K28" s="4">
        <f>ROUND('Group Inputs'!AI9,2)</f>
        <v>2.0</v>
      </c>
      <c r="L28" s="3" t="s">
        <v>572</v>
      </c>
      <c r="M28" s="3" t="s">
        <v>559</v>
      </c>
      <c r="N28" s="3" t="s">
        <v>87</v>
      </c>
    </row>
    <row r="29" spans="1:14">
      <c r="A29" s="2" t="s">
        <v>573</v>
      </c>
      <c r="B29" s="3" t="s">
        <v>574</v>
      </c>
      <c r="C29" s="3" t="s">
        <v>539</v>
      </c>
      <c r="D29" s="3" t="s">
        <v>21</v>
      </c>
      <c r="E29" s="3" t="s">
        <v>574</v>
      </c>
      <c r="F29" s="4">
        <f>ROUND('Group Inputs'!AK4,2)</f>
        <v>60.0</v>
      </c>
      <c r="G29" s="4">
        <f>ROUND('Group Inputs'!AK5,2)</f>
        <v>58.0</v>
      </c>
      <c r="H29" s="4">
        <f>ROUND('Group Inputs'!AK6,2)</f>
        <v>45.0</v>
      </c>
      <c r="I29" s="4">
        <f>ROUND('Group Inputs'!AK7,2)</f>
        <v>60.0</v>
      </c>
      <c r="J29" s="4">
        <f>ROUND('Group Inputs'!AK8,2)</f>
        <v>44.0</v>
      </c>
      <c r="K29" s="4">
        <f>ROUND('Group Inputs'!AK9,2)</f>
        <v>45.0</v>
      </c>
      <c r="L29" s="3" t="s">
        <v>575</v>
      </c>
      <c r="M29" s="3" t="s">
        <v>576</v>
      </c>
      <c r="N29" s="3" t="s">
        <v>91</v>
      </c>
    </row>
    <row r="30" spans="1:14">
      <c r="A30" s="2" t="s">
        <v>577</v>
      </c>
      <c r="B30" s="3" t="s">
        <v>578</v>
      </c>
      <c r="C30" s="3" t="s">
        <v>539</v>
      </c>
      <c r="D30" s="3" t="s">
        <v>21</v>
      </c>
      <c r="E30" s="3" t="s">
        <v>579</v>
      </c>
      <c r="F30" s="4">
        <f>ROUND('Group Inputs'!AL4,2)</f>
        <v>12.0</v>
      </c>
      <c r="G30" s="4">
        <f>ROUND('Group Inputs'!AL5,2)</f>
        <v>14.0</v>
      </c>
      <c r="H30" s="4">
        <f>ROUND('Group Inputs'!AL6,2)</f>
        <v>8.0</v>
      </c>
      <c r="I30" s="4">
        <f>ROUND('Group Inputs'!AL7,2)</f>
        <v>12.0</v>
      </c>
      <c r="J30" s="4">
        <f>ROUND('Group Inputs'!AL8,2)</f>
        <v>3.0</v>
      </c>
      <c r="K30" s="4">
        <f>ROUND('Group Inputs'!AL9,2)</f>
        <v>9.0</v>
      </c>
      <c r="L30" s="3" t="s">
        <v>563</v>
      </c>
      <c r="M30" s="3" t="s">
        <v>559</v>
      </c>
      <c r="N30" s="3" t="s">
        <v>93</v>
      </c>
    </row>
    <row r="31" spans="1:14">
      <c r="A31" s="2" t="s">
        <v>580</v>
      </c>
      <c r="B31" s="3" t="s">
        <v>581</v>
      </c>
      <c r="C31" s="3" t="s">
        <v>447</v>
      </c>
      <c r="D31" s="3" t="s">
        <v>21</v>
      </c>
      <c r="E31" s="3" t="s">
        <v>582</v>
      </c>
      <c r="F31" s="4">
        <f>ROUND(IF('Group Inputs'!AM4=0,100,100*'Group Inputs'!AN4/'Group Inputs'!AM4),2)</f>
        <v>66.67</v>
      </c>
      <c r="G31" s="4">
        <f>ROUND(IF('Group Inputs'!AM5=0,100,100*'Group Inputs'!AN5/'Group Inputs'!AM5),2)</f>
        <v>100.0</v>
      </c>
      <c r="H31" s="4">
        <f>ROUND(IF('Group Inputs'!AM6=0,100,100*'Group Inputs'!AN6/'Group Inputs'!AM6),2)</f>
        <v>88.89</v>
      </c>
      <c r="I31" s="4">
        <f>ROUND(IF('Group Inputs'!AM7=0,100,100*'Group Inputs'!AN7/'Group Inputs'!AM7),2)</f>
        <v>85.71</v>
      </c>
      <c r="J31" s="4">
        <f>ROUND(IF('Group Inputs'!AM8=0,100,100*'Group Inputs'!AN8/'Group Inputs'!AM8),2)</f>
        <v>90.91</v>
      </c>
      <c r="K31" s="4">
        <f>ROUND(IF('Group Inputs'!AM9=0,100,100*'Group Inputs'!AN9/'Group Inputs'!AM9),2)</f>
        <v>75.0</v>
      </c>
      <c r="L31" s="3" t="s">
        <v>583</v>
      </c>
      <c r="M31" s="3" t="s">
        <v>576</v>
      </c>
      <c r="N31" s="3" t="s">
        <v>584</v>
      </c>
    </row>
    <row r="32" spans="1:14">
      <c r="A32" s="2" t="s">
        <v>585</v>
      </c>
      <c r="B32" s="3" t="s">
        <v>586</v>
      </c>
      <c r="C32" s="3" t="s">
        <v>185</v>
      </c>
      <c r="D32" s="3" t="s">
        <v>21</v>
      </c>
      <c r="E32" s="3" t="s">
        <v>587</v>
      </c>
      <c r="F32" s="4">
        <f>ROUND('Group Inputs'!AR4,2)</f>
        <v>215.0</v>
      </c>
      <c r="G32" s="4">
        <f>ROUND('Group Inputs'!AR5,2)</f>
        <v>185.0</v>
      </c>
      <c r="H32" s="4">
        <f>ROUND('Group Inputs'!AR6,2)</f>
        <v>155.0</v>
      </c>
      <c r="I32" s="4">
        <f>ROUND('Group Inputs'!AR7,2)</f>
        <v>125.0</v>
      </c>
      <c r="J32" s="4">
        <f>ROUND('Group Inputs'!AR8,2)</f>
        <v>95.0</v>
      </c>
      <c r="K32" s="4">
        <f>ROUND('Group Inputs'!AR9,2)</f>
        <v>65.0</v>
      </c>
      <c r="L32" s="3" t="s">
        <v>588</v>
      </c>
      <c r="M32" s="3" t="s">
        <v>589</v>
      </c>
      <c r="N32" s="3" t="s">
        <v>105</v>
      </c>
    </row>
    <row r="33" spans="1:14">
      <c r="A33" s="2" t="s">
        <v>590</v>
      </c>
      <c r="B33" s="3" t="s">
        <v>591</v>
      </c>
      <c r="C33" s="3" t="s">
        <v>447</v>
      </c>
      <c r="D33" s="3" t="s">
        <v>21</v>
      </c>
      <c r="E33" s="3" t="s">
        <v>454</v>
      </c>
      <c r="F33" s="4">
        <f>ROUND(IFERROR(100*'Group Inputs'!M4/'Group Inputs'!J4,0),2)</f>
        <v>83.98</v>
      </c>
      <c r="G33" s="4">
        <f>ROUND(IFERROR(100*'Group Inputs'!M5/'Group Inputs'!J5,0),2)</f>
        <v>76.21</v>
      </c>
      <c r="H33" s="4">
        <f>ROUND(IFERROR(100*'Group Inputs'!M6/'Group Inputs'!J6,0),2)</f>
        <v>79.77</v>
      </c>
      <c r="I33" s="4">
        <f>ROUND(IFERROR(100*'Group Inputs'!M7/'Group Inputs'!J7,0),2)</f>
        <v>82.31</v>
      </c>
      <c r="J33" s="4">
        <f>ROUND(IFERROR(100*'Group Inputs'!M8/'Group Inputs'!J8,0),2)</f>
        <v>78.87</v>
      </c>
      <c r="K33" s="4">
        <f>ROUND(IFERROR(100*'Group Inputs'!M9/'Group Inputs'!J9,0),2)</f>
        <v>83.44</v>
      </c>
      <c r="L33" s="3" t="s">
        <v>455</v>
      </c>
      <c r="M33" s="3" t="s">
        <v>592</v>
      </c>
      <c r="N33" s="3" t="s">
        <v>457</v>
      </c>
    </row>
    <row r="34" spans="1:14">
      <c r="A34" s="2" t="s">
        <v>593</v>
      </c>
      <c r="B34" s="3" t="s">
        <v>594</v>
      </c>
      <c r="C34" s="3" t="s">
        <v>447</v>
      </c>
      <c r="D34" s="3" t="s">
        <v>21</v>
      </c>
      <c r="E34" s="3" t="s">
        <v>595</v>
      </c>
      <c r="F34" s="4">
        <f>ROUND(IFERROR(100*'Group Inputs'!M4/'Group Inputs'!I4,0),2)</f>
        <v>84.74</v>
      </c>
      <c r="G34" s="4">
        <f>ROUND(IFERROR(100*'Group Inputs'!M5/'Group Inputs'!I5,0),2)</f>
        <v>81.53</v>
      </c>
      <c r="H34" s="4">
        <f>ROUND(IFERROR(100*'Group Inputs'!M6/'Group Inputs'!I6,0),2)</f>
        <v>80.23</v>
      </c>
      <c r="I34" s="4">
        <f>ROUND(IFERROR(100*'Group Inputs'!M7/'Group Inputs'!I7,0),2)</f>
        <v>82.78</v>
      </c>
      <c r="J34" s="4">
        <f>ROUND(IFERROR(100*'Group Inputs'!M8/'Group Inputs'!I8,0),2)</f>
        <v>82.21</v>
      </c>
      <c r="K34" s="4">
        <f>ROUND(IFERROR(100*'Group Inputs'!M9/'Group Inputs'!I9,0),2)</f>
        <v>84.07</v>
      </c>
      <c r="L34" s="3" t="s">
        <v>596</v>
      </c>
      <c r="M34" s="3" t="s">
        <v>597</v>
      </c>
      <c r="N34" s="3" t="s">
        <v>468</v>
      </c>
    </row>
    <row r="35" spans="1:14">
      <c r="A35" s="2" t="s">
        <v>598</v>
      </c>
      <c r="B35" s="3" t="s">
        <v>599</v>
      </c>
      <c r="C35" s="3" t="s">
        <v>447</v>
      </c>
      <c r="D35" s="3" t="s">
        <v>21</v>
      </c>
      <c r="E35" s="3" t="s">
        <v>600</v>
      </c>
      <c r="F35" s="4">
        <f>ROUND(IF('Group Inputs'!AT4=0,0,100*'Group Inputs'!AS4/'Group Inputs'!AT4),2)</f>
        <v>95.35</v>
      </c>
      <c r="G35" s="4">
        <f>ROUND(IF('Group Inputs'!AT5=0,0,100*'Group Inputs'!AS5/'Group Inputs'!AT5),2)</f>
        <v>91.65</v>
      </c>
      <c r="H35" s="4">
        <f>ROUND(IF('Group Inputs'!AT6=0,0,100*'Group Inputs'!AS6/'Group Inputs'!AT6),2)</f>
        <v>88.97</v>
      </c>
      <c r="I35" s="4">
        <f>ROUND(IF('Group Inputs'!AT7=0,0,100*'Group Inputs'!AS7/'Group Inputs'!AT7),2)</f>
        <v>93.98</v>
      </c>
      <c r="J35" s="4">
        <f>ROUND(IF('Group Inputs'!AT8=0,0,100*'Group Inputs'!AS8/'Group Inputs'!AT8),2)</f>
        <v>92.4</v>
      </c>
      <c r="K35" s="4">
        <f>ROUND(IF('Group Inputs'!AT9=0,0,100*'Group Inputs'!AS9/'Group Inputs'!AT9),2)</f>
        <v>95.23</v>
      </c>
      <c r="L35" s="3" t="s">
        <v>601</v>
      </c>
      <c r="M35" s="3" t="s">
        <v>602</v>
      </c>
      <c r="N35" s="3" t="s">
        <v>603</v>
      </c>
    </row>
    <row r="36" spans="1:14">
      <c r="A36" s="2" t="s">
        <v>604</v>
      </c>
      <c r="B36" s="3" t="s">
        <v>605</v>
      </c>
      <c r="C36" s="3" t="s">
        <v>447</v>
      </c>
      <c r="D36" s="3" t="s">
        <v>21</v>
      </c>
      <c r="E36" s="3" t="s">
        <v>600</v>
      </c>
      <c r="F36" s="4">
        <f>ROUND(IF('Group Inputs'!AT4=0,0,100*'Group Inputs'!AS4/'Group Inputs'!AT4),2)</f>
        <v>95.35</v>
      </c>
      <c r="G36" s="4">
        <f>ROUND(IF('Group Inputs'!AT5=0,0,100*'Group Inputs'!AS5/'Group Inputs'!AT5),2)</f>
        <v>91.65</v>
      </c>
      <c r="H36" s="4">
        <f>ROUND(IF('Group Inputs'!AT6=0,0,100*'Group Inputs'!AS6/'Group Inputs'!AT6),2)</f>
        <v>88.97</v>
      </c>
      <c r="I36" s="4">
        <f>ROUND(IF('Group Inputs'!AT7=0,0,100*'Group Inputs'!AS7/'Group Inputs'!AT7),2)</f>
        <v>93.98</v>
      </c>
      <c r="J36" s="4">
        <f>ROUND(IF('Group Inputs'!AT8=0,0,100*'Group Inputs'!AS8/'Group Inputs'!AT8),2)</f>
        <v>92.4</v>
      </c>
      <c r="K36" s="4">
        <f>ROUND(IF('Group Inputs'!AT9=0,0,100*'Group Inputs'!AS9/'Group Inputs'!AT9),2)</f>
        <v>95.23</v>
      </c>
      <c r="L36" s="3" t="s">
        <v>601</v>
      </c>
      <c r="M36" s="3" t="s">
        <v>606</v>
      </c>
      <c r="N36" s="3" t="s">
        <v>603</v>
      </c>
    </row>
    <row r="37" spans="1:14">
      <c r="A37" s="2" t="s">
        <v>607</v>
      </c>
      <c r="B37" s="3" t="s">
        <v>608</v>
      </c>
      <c r="C37" s="3" t="s">
        <v>505</v>
      </c>
      <c r="D37" s="3" t="s">
        <v>21</v>
      </c>
      <c r="E37" s="3" t="s">
        <v>609</v>
      </c>
      <c r="F37" s="4">
        <f>ROUND(IF('Group Inputs'!M4=0,0,1000*'Group Inputs'!AW4/'Group Inputs'!M4),2)</f>
        <v>186.81</v>
      </c>
      <c r="G37" s="4">
        <f>ROUND(IF('Group Inputs'!M5=0,0,1000*'Group Inputs'!AW5/'Group Inputs'!M5),2)</f>
        <v>185.82</v>
      </c>
      <c r="H37" s="4">
        <f>ROUND(IF('Group Inputs'!M6=0,0,1000*'Group Inputs'!AW6/'Group Inputs'!M6),2)</f>
        <v>191.62</v>
      </c>
      <c r="I37" s="4">
        <f>ROUND(IF('Group Inputs'!M7=0,0,1000*'Group Inputs'!AW7/'Group Inputs'!M7),2)</f>
        <v>171.72</v>
      </c>
      <c r="J37" s="4">
        <f>ROUND(IF('Group Inputs'!M8=0,0,1000*'Group Inputs'!AW8/'Group Inputs'!M8),2)</f>
        <v>187.69</v>
      </c>
      <c r="K37" s="4">
        <f>ROUND(IF('Group Inputs'!M9=0,0,1000*'Group Inputs'!AW9/'Group Inputs'!M9),2)</f>
        <v>174.29</v>
      </c>
      <c r="L37" s="3" t="s">
        <v>610</v>
      </c>
      <c r="M37" s="3" t="s">
        <v>597</v>
      </c>
      <c r="N37" s="3" t="s">
        <v>611</v>
      </c>
    </row>
    <row r="38" spans="1:14">
      <c r="A38" s="2" t="s">
        <v>612</v>
      </c>
      <c r="B38" s="3" t="s">
        <v>613</v>
      </c>
      <c r="C38" s="3" t="s">
        <v>614</v>
      </c>
      <c r="D38" s="3" t="s">
        <v>615</v>
      </c>
      <c r="E38" s="3" t="s">
        <v>616</v>
      </c>
      <c r="F38" s="4">
        <f>ROUND(SUM('Group Inputs'!FV$4:FV4)/1000,2)</f>
        <v>321.96</v>
      </c>
      <c r="G38" s="4">
        <f>ROUND(SUM('Group Inputs'!FV$4:FV5)/1000,2)</f>
        <v>574.52</v>
      </c>
      <c r="H38" s="4">
        <f>ROUND(SUM('Group Inputs'!FV$4:FV6)/1000,2)</f>
        <v>816.46</v>
      </c>
      <c r="I38" s="4">
        <f>ROUND(SUM('Group Inputs'!FV$4:FV7)/1000,2)</f>
        <v>1114.42</v>
      </c>
      <c r="J38" s="4">
        <f>ROUND(SUM('Group Inputs'!FV$4:FV8)/1000,2)</f>
        <v>1363.11</v>
      </c>
      <c r="K38" s="4">
        <f>ROUND(SUM('Group Inputs'!FV$4:FV9)/1000,2)</f>
        <v>1760.09</v>
      </c>
      <c r="L38" s="3" t="s">
        <v>617</v>
      </c>
      <c r="M38" s="3" t="s">
        <v>618</v>
      </c>
      <c r="N38" s="3" t="s">
        <v>396</v>
      </c>
    </row>
    <row r="39" spans="1:14">
      <c r="A39" s="2" t="s">
        <v>619</v>
      </c>
      <c r="B39" s="3" t="s">
        <v>620</v>
      </c>
      <c r="C39" s="3" t="s">
        <v>614</v>
      </c>
      <c r="D39" s="3" t="s">
        <v>615</v>
      </c>
      <c r="E39" s="3" t="s">
        <v>621</v>
      </c>
      <c r="F39" s="4">
        <f>ROUND(SUM('Group Inputs'!FW$4:FW4)/1000,2)</f>
        <v>232.68</v>
      </c>
      <c r="G39" s="4">
        <f>ROUND(SUM('Group Inputs'!FW$4:FW5)/1000,2)</f>
        <v>397.26</v>
      </c>
      <c r="H39" s="4">
        <f>ROUND(SUM('Group Inputs'!FW$4:FW6)/1000,2)</f>
        <v>550.73</v>
      </c>
      <c r="I39" s="4">
        <f>ROUND(SUM('Group Inputs'!FW$4:FW7)/1000,2)</f>
        <v>760.11</v>
      </c>
      <c r="J39" s="4">
        <f>ROUND(SUM('Group Inputs'!FW$4:FW8)/1000,2)</f>
        <v>920.64</v>
      </c>
      <c r="K39" s="4">
        <f>ROUND(SUM('Group Inputs'!FW$4:FW9)/1000,2)</f>
        <v>1228.14</v>
      </c>
      <c r="L39" s="3" t="s">
        <v>622</v>
      </c>
      <c r="M39" s="3" t="s">
        <v>623</v>
      </c>
      <c r="N39" s="3" t="s">
        <v>399</v>
      </c>
    </row>
    <row r="40" spans="1:14">
      <c r="A40" s="2" t="s">
        <v>624</v>
      </c>
      <c r="B40" s="3" t="s">
        <v>625</v>
      </c>
      <c r="C40" s="3" t="s">
        <v>614</v>
      </c>
      <c r="D40" s="3" t="s">
        <v>615</v>
      </c>
      <c r="E40" s="3" t="s">
        <v>626</v>
      </c>
      <c r="F40" s="4">
        <f>ROUND(SUM('Group Inputs'!AU$4:AU4)/1000,2)</f>
        <v>2349.26</v>
      </c>
      <c r="G40" s="4">
        <f>ROUND(SUM('Group Inputs'!AU$4:AU5)/1000,2)</f>
        <v>4568.1</v>
      </c>
      <c r="H40" s="4">
        <f>ROUND(SUM('Group Inputs'!AU$4:AU6)/1000,2)</f>
        <v>6803.75</v>
      </c>
      <c r="I40" s="4">
        <f>ROUND(SUM('Group Inputs'!AU$4:AU7)/1000,2)</f>
        <v>9188.45</v>
      </c>
      <c r="J40" s="4">
        <f>ROUND(SUM('Group Inputs'!AU$4:AU8)/1000,2)</f>
        <v>11475.48</v>
      </c>
      <c r="K40" s="4">
        <f>ROUND(SUM('Group Inputs'!AU$4:AU9)/1000,2)</f>
        <v>13811.3</v>
      </c>
      <c r="L40" s="3" t="s">
        <v>627</v>
      </c>
      <c r="M40" s="3" t="s">
        <v>618</v>
      </c>
      <c r="N40" s="3" t="s">
        <v>111</v>
      </c>
    </row>
    <row r="41" spans="1:14">
      <c r="A41" s="2" t="s">
        <v>628</v>
      </c>
      <c r="B41" s="3" t="s">
        <v>629</v>
      </c>
      <c r="C41" s="3" t="s">
        <v>614</v>
      </c>
      <c r="D41" s="3" t="s">
        <v>615</v>
      </c>
      <c r="E41" s="3" t="s">
        <v>630</v>
      </c>
      <c r="F41" s="4">
        <f>ROUND(SUM('Group Inputs'!GA$4:GA4)/1000,2)</f>
        <v>65.96</v>
      </c>
      <c r="G41" s="4">
        <f>ROUND(SUM('Group Inputs'!GA$4:GA5)/1000,2)</f>
        <v>311.68</v>
      </c>
      <c r="H41" s="4">
        <f>ROUND(SUM('Group Inputs'!GA$4:GA6)/1000,2)</f>
        <v>327.88</v>
      </c>
      <c r="I41" s="4">
        <f>ROUND(SUM('Group Inputs'!GA$4:GA7)/1000,2)</f>
        <v>372.88</v>
      </c>
      <c r="J41" s="4">
        <f>ROUND(SUM('Group Inputs'!GA$4:GA8)/1000,2)</f>
        <v>448.76</v>
      </c>
      <c r="K41" s="4">
        <f>ROUND(SUM('Group Inputs'!GA$4:GA9)/1000,2)</f>
        <v>606.18</v>
      </c>
      <c r="L41" s="3" t="s">
        <v>631</v>
      </c>
      <c r="M41" s="3" t="s">
        <v>632</v>
      </c>
      <c r="N41" s="3" t="s">
        <v>411</v>
      </c>
    </row>
    <row r="42" spans="1:14">
      <c r="A42" s="2" t="s">
        <v>633</v>
      </c>
      <c r="B42" s="3" t="s">
        <v>634</v>
      </c>
      <c r="C42" s="3" t="s">
        <v>447</v>
      </c>
      <c r="D42" s="3" t="s">
        <v>615</v>
      </c>
      <c r="E42" s="3" t="s">
        <v>635</v>
      </c>
      <c r="F42" s="4">
        <f>ROUND(IF('Group Inputs'!CA4=0,0,100*SUM('Group Inputs'!FW$4:FW4)*12/'Group Inputs'!D4/'Group Inputs'!CA4),2)</f>
        <v>13.42</v>
      </c>
      <c r="G42" s="4">
        <f>ROUND(IF('Group Inputs'!CA5=0,0,100*SUM('Group Inputs'!FW$4:FW5)*12/'Group Inputs'!D5/'Group Inputs'!CA5),2)</f>
        <v>11.41</v>
      </c>
      <c r="H42" s="4">
        <f>ROUND(IF('Group Inputs'!CA6=0,0,100*SUM('Group Inputs'!FW$4:FW6)*12/'Group Inputs'!D6/'Group Inputs'!CA6),2)</f>
        <v>10.51</v>
      </c>
      <c r="I42" s="4">
        <f>ROUND(IF('Group Inputs'!CA7=0,0,100*SUM('Group Inputs'!FW$4:FW7)*12/'Group Inputs'!D7/'Group Inputs'!CA7),2)</f>
        <v>10.83</v>
      </c>
      <c r="J42" s="4">
        <f>ROUND(IF('Group Inputs'!CA8=0,0,100*SUM('Group Inputs'!FW$4:FW8)*12/'Group Inputs'!D8/'Group Inputs'!CA8),2)</f>
        <v>10.46</v>
      </c>
      <c r="K42" s="4">
        <f>ROUND(IF('Group Inputs'!CA9=0,0,100*SUM('Group Inputs'!FW$4:FW9)*12/'Group Inputs'!D9/'Group Inputs'!CA9),2)</f>
        <v>11.58</v>
      </c>
      <c r="L42" s="3" t="s">
        <v>636</v>
      </c>
      <c r="M42" s="3" t="s">
        <v>623</v>
      </c>
      <c r="N42" s="3" t="s">
        <v>637</v>
      </c>
    </row>
    <row r="43" spans="1:14">
      <c r="A43" s="2" t="s">
        <v>638</v>
      </c>
      <c r="B43" s="3" t="s">
        <v>639</v>
      </c>
      <c r="C43" s="3" t="s">
        <v>614</v>
      </c>
      <c r="D43" s="3" t="s">
        <v>640</v>
      </c>
      <c r="E43" s="3" t="s">
        <v>641</v>
      </c>
      <c r="F43" s="4">
        <f>ROUND('Group Inputs'!GB4/1000,2)</f>
        <v>7000.0</v>
      </c>
      <c r="G43" s="4">
        <f>ROUND('Group Inputs'!GB5/1000,2)</f>
        <v>6930.0</v>
      </c>
      <c r="H43" s="4">
        <f>ROUND('Group Inputs'!GB6/1000,2)</f>
        <v>6860.0</v>
      </c>
      <c r="I43" s="4">
        <f>ROUND('Group Inputs'!GB7/1000,2)</f>
        <v>6790.0</v>
      </c>
      <c r="J43" s="4">
        <f>ROUND('Group Inputs'!GB8/1000,2)</f>
        <v>6720.0</v>
      </c>
      <c r="K43" s="4">
        <f>ROUND('Group Inputs'!GB9/1000,2)</f>
        <v>6650.0</v>
      </c>
      <c r="L43" s="3" t="s">
        <v>642</v>
      </c>
      <c r="M43" s="3" t="s">
        <v>643</v>
      </c>
      <c r="N43" s="3" t="s">
        <v>414</v>
      </c>
    </row>
    <row r="44" spans="1:14">
      <c r="A44" s="2" t="s">
        <v>644</v>
      </c>
      <c r="B44" s="3" t="s">
        <v>645</v>
      </c>
      <c r="C44" s="3" t="s">
        <v>614</v>
      </c>
      <c r="D44" s="3" t="s">
        <v>615</v>
      </c>
      <c r="E44" s="3" t="s">
        <v>646</v>
      </c>
      <c r="F44" s="4">
        <f>ROUND((SUM('Group Inputs'!FW$4:FW4)*(1-Parameters!$B$2)-'Group Inputs'!CA4*Parameters!$B$3*'Group Inputs'!D4/12)/1000,2)</f>
        <v>9.85</v>
      </c>
      <c r="G44" s="4">
        <f>ROUND((SUM('Group Inputs'!FW$4:FW5)*(1-Parameters!$B$2)-'Group Inputs'!CA5*Parameters!$B$3*'Group Inputs'!D5/12)/1000,2)</f>
        <v>-32.71</v>
      </c>
      <c r="H44" s="4">
        <f>ROUND((SUM('Group Inputs'!FW$4:FW6)*(1-Parameters!$B$2)-'Group Inputs'!CA6*Parameters!$B$3*'Group Inputs'!D6/12)/1000,2)</f>
        <v>-84.91</v>
      </c>
      <c r="I44" s="4">
        <f>ROUND((SUM('Group Inputs'!FW$4:FW7)*(1-Parameters!$B$2)-'Group Inputs'!CA7*Parameters!$B$3*'Group Inputs'!D7/12)/1000,2)</f>
        <v>-96.49</v>
      </c>
      <c r="J44" s="4">
        <f>ROUND((SUM('Group Inputs'!FW$4:FW8)*(1-Parameters!$B$2)-'Group Inputs'!CA8*Parameters!$B$3*'Group Inputs'!D8/12)/1000,2)</f>
        <v>-146.03</v>
      </c>
      <c r="K44" s="4">
        <f>ROUND((SUM('Group Inputs'!FW$4:FW9)*(1-Parameters!$B$2)-'Group Inputs'!CA9*Parameters!$B$3*'Group Inputs'!D9/12)/1000,2)</f>
        <v>-86.65</v>
      </c>
      <c r="L44" s="3" t="s">
        <v>647</v>
      </c>
      <c r="M44" s="3" t="s">
        <v>648</v>
      </c>
      <c r="N44" s="3" t="s">
        <v>637</v>
      </c>
    </row>
    <row r="45" spans="1:14">
      <c r="A45" s="2" t="s">
        <v>649</v>
      </c>
      <c r="B45" s="3" t="s">
        <v>650</v>
      </c>
      <c r="C45" s="3" t="s">
        <v>447</v>
      </c>
      <c r="D45" s="3" t="s">
        <v>615</v>
      </c>
      <c r="E45" s="3" t="s">
        <v>651</v>
      </c>
      <c r="F45" s="4">
        <f>ROUND(IF(SUM('Group Inputs'!FV$4:FV4)=0,0,100*SUM('Group Inputs'!GA$4:GA4)/SUM('Group Inputs'!FV$4:FV4)),2)</f>
        <v>20.49</v>
      </c>
      <c r="G45" s="4">
        <f>ROUND(IF(SUM('Group Inputs'!FV$4:FV5)=0,0,100*SUM('Group Inputs'!GA$4:GA5)/SUM('Group Inputs'!FV$4:FV5)),2)</f>
        <v>54.25</v>
      </c>
      <c r="H45" s="4">
        <f>ROUND(IF(SUM('Group Inputs'!FV$4:FV6)=0,0,100*SUM('Group Inputs'!GA$4:GA6)/SUM('Group Inputs'!FV$4:FV6)),2)</f>
        <v>40.16</v>
      </c>
      <c r="I45" s="4">
        <f>ROUND(IF(SUM('Group Inputs'!FV$4:FV7)=0,0,100*SUM('Group Inputs'!GA$4:GA7)/SUM('Group Inputs'!FV$4:FV7)),2)</f>
        <v>33.46</v>
      </c>
      <c r="J45" s="4">
        <f>ROUND(IF(SUM('Group Inputs'!FV$4:FV8)=0,0,100*SUM('Group Inputs'!GA$4:GA8)/SUM('Group Inputs'!FV$4:FV8)),2)</f>
        <v>32.92</v>
      </c>
      <c r="K45" s="4">
        <f>ROUND(IF(SUM('Group Inputs'!FV$4:FV9)=0,0,100*SUM('Group Inputs'!GA$4:GA9)/SUM('Group Inputs'!FV$4:FV9)),2)</f>
        <v>34.44</v>
      </c>
      <c r="L45" s="3" t="s">
        <v>652</v>
      </c>
      <c r="M45" s="3" t="s">
        <v>653</v>
      </c>
      <c r="N45" s="3" t="s">
        <v>654</v>
      </c>
    </row>
    <row r="46" spans="1:14">
      <c r="A46" s="2" t="s">
        <v>655</v>
      </c>
      <c r="B46" s="3" t="s">
        <v>656</v>
      </c>
      <c r="C46" s="3" t="s">
        <v>614</v>
      </c>
      <c r="D46" s="3" t="s">
        <v>640</v>
      </c>
      <c r="E46" s="3" t="s">
        <v>657</v>
      </c>
      <c r="F46" s="4">
        <f>ROUND('Group Inputs'!CC4/1000,2)</f>
        <v>2099.11</v>
      </c>
      <c r="G46" s="4">
        <f>ROUND('Group Inputs'!CC5/1000,2)</f>
        <v>2017.66</v>
      </c>
      <c r="H46" s="4">
        <f>ROUND('Group Inputs'!CC6/1000,2)</f>
        <v>1986.19</v>
      </c>
      <c r="I46" s="4">
        <f>ROUND('Group Inputs'!CC7/1000,2)</f>
        <v>2142.07</v>
      </c>
      <c r="J46" s="4">
        <f>ROUND('Group Inputs'!CC8/1000,2)</f>
        <v>2027.31</v>
      </c>
      <c r="K46" s="4">
        <f>ROUND('Group Inputs'!CC9/1000,2)</f>
        <v>2141.82</v>
      </c>
      <c r="L46" s="3" t="s">
        <v>658</v>
      </c>
      <c r="M46" s="3" t="s">
        <v>659</v>
      </c>
      <c r="N46" s="3" t="s">
        <v>198</v>
      </c>
    </row>
    <row r="47" spans="1:14">
      <c r="A47" s="2" t="s">
        <v>660</v>
      </c>
      <c r="B47" s="3" t="s">
        <v>661</v>
      </c>
      <c r="C47" s="3" t="s">
        <v>614</v>
      </c>
      <c r="D47" s="3" t="s">
        <v>615</v>
      </c>
      <c r="E47" s="3" t="s">
        <v>662</v>
      </c>
      <c r="F47" s="4">
        <f>ROUND(SUM('Group Inputs'!CN$4:CN4)/1000,2)</f>
        <v>3.83</v>
      </c>
      <c r="G47" s="4">
        <f>ROUND(SUM('Group Inputs'!CN$4:CN5)/1000,2)</f>
        <v>7.49</v>
      </c>
      <c r="H47" s="4">
        <f>ROUND(SUM('Group Inputs'!CN$4:CN6)/1000,2)</f>
        <v>11.28</v>
      </c>
      <c r="I47" s="4">
        <f>ROUND(SUM('Group Inputs'!CN$4:CN7)/1000,2)</f>
        <v>14.88</v>
      </c>
      <c r="J47" s="4">
        <f>ROUND(SUM('Group Inputs'!CN$4:CN8)/1000,2)</f>
        <v>18.62</v>
      </c>
      <c r="K47" s="4">
        <f>ROUND(SUM('Group Inputs'!CN$4:CN9)/1000,2)</f>
        <v>22.03</v>
      </c>
      <c r="L47" s="3" t="s">
        <v>663</v>
      </c>
      <c r="M47" s="3" t="s">
        <v>659</v>
      </c>
      <c r="N47" s="3" t="s">
        <v>220</v>
      </c>
    </row>
    <row r="48" spans="1:14">
      <c r="A48" s="2" t="s">
        <v>664</v>
      </c>
      <c r="B48" s="3" t="s">
        <v>665</v>
      </c>
      <c r="C48" s="3" t="s">
        <v>666</v>
      </c>
      <c r="D48" s="3" t="s">
        <v>21</v>
      </c>
      <c r="E48" s="3" t="s">
        <v>667</v>
      </c>
      <c r="F48" s="4">
        <f>ROUND('Group Inputs'!CM4/'Group Inputs'!C4/1000,2)</f>
        <v>77.02</v>
      </c>
      <c r="G48" s="4">
        <f>ROUND('Group Inputs'!CM5/'Group Inputs'!C5/1000,2)</f>
        <v>70.67</v>
      </c>
      <c r="H48" s="4">
        <f>ROUND('Group Inputs'!CM6/'Group Inputs'!C6/1000,2)</f>
        <v>73.45</v>
      </c>
      <c r="I48" s="4">
        <f>ROUND('Group Inputs'!CM7/'Group Inputs'!C7/1000,2)</f>
        <v>75.79</v>
      </c>
      <c r="J48" s="4">
        <f>ROUND('Group Inputs'!CM8/'Group Inputs'!C8/1000,2)</f>
        <v>73.61</v>
      </c>
      <c r="K48" s="4">
        <f>ROUND('Group Inputs'!CM9/'Group Inputs'!C9/1000,2)</f>
        <v>76.77</v>
      </c>
      <c r="L48" s="3" t="s">
        <v>668</v>
      </c>
      <c r="M48" s="3" t="s">
        <v>669</v>
      </c>
      <c r="N48" s="3" t="s">
        <v>670</v>
      </c>
    </row>
    <row r="49" spans="1:14">
      <c r="A49" s="2" t="s">
        <v>671</v>
      </c>
      <c r="B49" s="3" t="s">
        <v>672</v>
      </c>
      <c r="C49" s="3" t="s">
        <v>185</v>
      </c>
      <c r="D49" s="3" t="s">
        <v>640</v>
      </c>
      <c r="E49" s="3" t="s">
        <v>673</v>
      </c>
      <c r="F49" s="4">
        <f>ROUND('Group Inputs'!GD4+'Group Inputs'!GF4-'Group Inputs'!GE4,2)</f>
        <v>34.91</v>
      </c>
      <c r="G49" s="4">
        <f>ROUND('Group Inputs'!GD5+'Group Inputs'!GF5-'Group Inputs'!GE5,2)</f>
        <v>35.93</v>
      </c>
      <c r="H49" s="4">
        <f>ROUND('Group Inputs'!GD6+'Group Inputs'!GF6-'Group Inputs'!GE6,2)</f>
        <v>34.78</v>
      </c>
      <c r="I49" s="4">
        <f>ROUND('Group Inputs'!GD7+'Group Inputs'!GF7-'Group Inputs'!GE7,2)</f>
        <v>33.84</v>
      </c>
      <c r="J49" s="4">
        <f>ROUND('Group Inputs'!GD8+'Group Inputs'!GF8-'Group Inputs'!GE8,2)</f>
        <v>35.58</v>
      </c>
      <c r="K49" s="4">
        <f>ROUND('Group Inputs'!GD9+'Group Inputs'!GF9-'Group Inputs'!GE9,2)</f>
        <v>32.59</v>
      </c>
      <c r="L49" s="3" t="s">
        <v>674</v>
      </c>
      <c r="M49" s="3" t="s">
        <v>659</v>
      </c>
      <c r="N49" s="3" t="s">
        <v>675</v>
      </c>
    </row>
    <row r="50" spans="1:14">
      <c r="A50" s="2" t="s">
        <v>676</v>
      </c>
      <c r="B50" s="3" t="s">
        <v>677</v>
      </c>
      <c r="C50" s="3" t="s">
        <v>614</v>
      </c>
      <c r="D50" s="3" t="s">
        <v>678</v>
      </c>
      <c r="E50" s="3" t="s">
        <v>679</v>
      </c>
      <c r="F50" s="4">
        <f>ROUND(('Group Inputs'!CO4-'Group Inputs'!CP4)/1000,2)</f>
        <v>0.0</v>
      </c>
      <c r="G50" s="4">
        <f>ROUND(('Group Inputs'!CO5-'Group Inputs'!CP5)/1000,2)</f>
        <v>0.0</v>
      </c>
      <c r="H50" s="4">
        <f>ROUND(('Group Inputs'!CO6-'Group Inputs'!CP6)/1000,2)</f>
        <v>0.0</v>
      </c>
      <c r="I50" s="4">
        <f>ROUND(('Group Inputs'!CO7-'Group Inputs'!CP7)/1000,2)</f>
        <v>0.0</v>
      </c>
      <c r="J50" s="4">
        <f>ROUND(('Group Inputs'!CO8-'Group Inputs'!CP8)/1000,2)</f>
        <v>25.62</v>
      </c>
      <c r="K50" s="4">
        <f>ROUND(('Group Inputs'!CO9-'Group Inputs'!CP9)/1000,2)</f>
        <v>27.21</v>
      </c>
      <c r="L50" s="3" t="s">
        <v>680</v>
      </c>
      <c r="M50" s="3" t="s">
        <v>669</v>
      </c>
      <c r="N50" s="3" t="s">
        <v>681</v>
      </c>
    </row>
    <row r="51" spans="1:14">
      <c r="A51" s="2" t="s">
        <v>682</v>
      </c>
      <c r="B51" s="3" t="s">
        <v>683</v>
      </c>
      <c r="C51" s="3" t="s">
        <v>185</v>
      </c>
      <c r="D51" s="3" t="s">
        <v>640</v>
      </c>
      <c r="E51" s="3" t="s">
        <v>684</v>
      </c>
      <c r="F51" s="4">
        <f>ROUND('Group Inputs'!GD4,2)</f>
        <v>47.16</v>
      </c>
      <c r="G51" s="4">
        <f>ROUND('Group Inputs'!GD5,2)</f>
        <v>48.66</v>
      </c>
      <c r="H51" s="4">
        <f>ROUND('Group Inputs'!GD6,2)</f>
        <v>48.42</v>
      </c>
      <c r="I51" s="4">
        <f>ROUND('Group Inputs'!GD7,2)</f>
        <v>48.03</v>
      </c>
      <c r="J51" s="4">
        <f>ROUND('Group Inputs'!GD8,2)</f>
        <v>47.51</v>
      </c>
      <c r="K51" s="4">
        <f>ROUND('Group Inputs'!GD9,2)</f>
        <v>46.97</v>
      </c>
      <c r="L51" s="3" t="s">
        <v>685</v>
      </c>
      <c r="M51" s="3" t="s">
        <v>686</v>
      </c>
      <c r="N51" s="3" t="s">
        <v>420</v>
      </c>
    </row>
    <row r="52" spans="1:14">
      <c r="A52" s="2" t="s">
        <v>687</v>
      </c>
      <c r="B52" s="3" t="s">
        <v>688</v>
      </c>
      <c r="C52" s="3" t="s">
        <v>185</v>
      </c>
      <c r="D52" s="3" t="s">
        <v>640</v>
      </c>
      <c r="E52" s="3" t="s">
        <v>689</v>
      </c>
      <c r="F52" s="4">
        <f>ROUND('Group Inputs'!GE4,2)</f>
        <v>50.37</v>
      </c>
      <c r="G52" s="4">
        <f>ROUND('Group Inputs'!GE5,2)</f>
        <v>51.11</v>
      </c>
      <c r="H52" s="4">
        <f>ROUND('Group Inputs'!GE6,2)</f>
        <v>52.39</v>
      </c>
      <c r="I52" s="4">
        <f>ROUND('Group Inputs'!GE7,2)</f>
        <v>51.26</v>
      </c>
      <c r="J52" s="4">
        <f>ROUND('Group Inputs'!GE8,2)</f>
        <v>50.37</v>
      </c>
      <c r="K52" s="4">
        <f>ROUND('Group Inputs'!GE9,2)</f>
        <v>52.15</v>
      </c>
      <c r="L52" s="3" t="s">
        <v>690</v>
      </c>
      <c r="M52" s="3" t="s">
        <v>659</v>
      </c>
      <c r="N52" s="3" t="s">
        <v>423</v>
      </c>
    </row>
    <row r="53" spans="1:14">
      <c r="A53" s="2" t="s">
        <v>691</v>
      </c>
      <c r="B53" s="3" t="s">
        <v>692</v>
      </c>
      <c r="C53" s="3" t="s">
        <v>185</v>
      </c>
      <c r="D53" s="3" t="s">
        <v>640</v>
      </c>
      <c r="E53" s="3" t="s">
        <v>693</v>
      </c>
      <c r="F53" s="4">
        <f>ROUND('Group Inputs'!GF4,2)</f>
        <v>38.13</v>
      </c>
      <c r="G53" s="4">
        <f>ROUND('Group Inputs'!GF5,2)</f>
        <v>38.38</v>
      </c>
      <c r="H53" s="4">
        <f>ROUND('Group Inputs'!GF6,2)</f>
        <v>38.75</v>
      </c>
      <c r="I53" s="4">
        <f>ROUND('Group Inputs'!GF7,2)</f>
        <v>37.06</v>
      </c>
      <c r="J53" s="4">
        <f>ROUND('Group Inputs'!GF8,2)</f>
        <v>38.44</v>
      </c>
      <c r="K53" s="4">
        <f>ROUND('Group Inputs'!GF9,2)</f>
        <v>37.76</v>
      </c>
      <c r="L53" s="3" t="s">
        <v>694</v>
      </c>
      <c r="M53" s="3" t="s">
        <v>659</v>
      </c>
      <c r="N53" s="3" t="s">
        <v>426</v>
      </c>
    </row>
    <row r="54" spans="1:14">
      <c r="A54" s="2" t="s">
        <v>695</v>
      </c>
      <c r="B54" s="3" t="s">
        <v>696</v>
      </c>
      <c r="C54" s="3" t="s">
        <v>614</v>
      </c>
      <c r="D54" s="3" t="s">
        <v>640</v>
      </c>
      <c r="E54" s="3" t="s">
        <v>697</v>
      </c>
      <c r="F54" s="4">
        <f>ROUND('Group Inputs'!FX4/1000,2)</f>
        <v>2912.58</v>
      </c>
      <c r="G54" s="4">
        <f>ROUND('Group Inputs'!FX5/1000,2)</f>
        <v>2720.0</v>
      </c>
      <c r="H54" s="4">
        <f>ROUND('Group Inputs'!FX6/1000,2)</f>
        <v>2750.36</v>
      </c>
      <c r="I54" s="4">
        <f>ROUND('Group Inputs'!FX7/1000,2)</f>
        <v>2792.72</v>
      </c>
      <c r="J54" s="4">
        <f>ROUND('Group Inputs'!FX8/1000,2)</f>
        <v>2763.73</v>
      </c>
      <c r="K54" s="4">
        <f>ROUND('Group Inputs'!FX9/1000,2)</f>
        <v>2780.99</v>
      </c>
      <c r="L54" s="3" t="s">
        <v>698</v>
      </c>
      <c r="M54" s="3" t="s">
        <v>659</v>
      </c>
      <c r="N54" s="3" t="s">
        <v>402</v>
      </c>
    </row>
    <row r="55" spans="1:14">
      <c r="A55" s="2" t="s">
        <v>699</v>
      </c>
      <c r="B55" s="3" t="s">
        <v>700</v>
      </c>
      <c r="C55" s="3" t="s">
        <v>614</v>
      </c>
      <c r="D55" s="3" t="s">
        <v>21</v>
      </c>
      <c r="E55" s="3" t="s">
        <v>701</v>
      </c>
      <c r="F55" s="4">
        <f>ROUND('Group Inputs'!FY4/1000,2)</f>
        <v>43.69</v>
      </c>
      <c r="G55" s="4">
        <f>ROUND('Group Inputs'!FY5/1000,2)</f>
        <v>-192.58</v>
      </c>
      <c r="H55" s="4">
        <f>ROUND('Group Inputs'!FY6/1000,2)</f>
        <v>30.36</v>
      </c>
      <c r="I55" s="4">
        <f>ROUND('Group Inputs'!FY7/1000,2)</f>
        <v>42.36</v>
      </c>
      <c r="J55" s="4">
        <f>ROUND('Group Inputs'!FY8/1000,2)</f>
        <v>-29.0</v>
      </c>
      <c r="K55" s="4">
        <f>ROUND('Group Inputs'!FY9/1000,2)</f>
        <v>17.26</v>
      </c>
      <c r="L55" s="3" t="s">
        <v>702</v>
      </c>
      <c r="M55" s="3" t="s">
        <v>659</v>
      </c>
      <c r="N55" s="3" t="s">
        <v>405</v>
      </c>
    </row>
    <row r="56" spans="1:14">
      <c r="A56" s="2" t="s">
        <v>703</v>
      </c>
      <c r="B56" s="3" t="s">
        <v>704</v>
      </c>
      <c r="C56" s="3" t="s">
        <v>185</v>
      </c>
      <c r="D56" s="3" t="s">
        <v>640</v>
      </c>
      <c r="E56" s="3" t="s">
        <v>705</v>
      </c>
      <c r="F56" s="4">
        <f>ROUND(IF('Group Inputs'!AU4=0,0,'Group Inputs'!FX4/'Group Inputs'!AU4*'Group Inputs'!C4),2)</f>
        <v>37.19</v>
      </c>
      <c r="G56" s="4">
        <f>ROUND(IF('Group Inputs'!AU5=0,0,'Group Inputs'!FX5/'Group Inputs'!AU5*'Group Inputs'!C5),2)</f>
        <v>38.0</v>
      </c>
      <c r="H56" s="4">
        <f>ROUND(IF('Group Inputs'!AU6=0,0,'Group Inputs'!FX6/'Group Inputs'!AU6*'Group Inputs'!C6),2)</f>
        <v>36.91</v>
      </c>
      <c r="I56" s="4">
        <f>ROUND(IF('Group Inputs'!AU7=0,0,'Group Inputs'!FX7/'Group Inputs'!AU7*'Group Inputs'!C7),2)</f>
        <v>36.3</v>
      </c>
      <c r="J56" s="4">
        <f>ROUND(IF('Group Inputs'!AU8=0,0,'Group Inputs'!FX8/'Group Inputs'!AU8*'Group Inputs'!C8),2)</f>
        <v>37.46</v>
      </c>
      <c r="K56" s="4">
        <f>ROUND(IF('Group Inputs'!AU9=0,0,'Group Inputs'!FX9/'Group Inputs'!AU9*'Group Inputs'!C9),2)</f>
        <v>35.72</v>
      </c>
      <c r="L56" s="3" t="s">
        <v>706</v>
      </c>
      <c r="M56" s="3" t="s">
        <v>659</v>
      </c>
      <c r="N56" s="3" t="s">
        <v>707</v>
      </c>
    </row>
    <row r="57" spans="1:14">
      <c r="A57" s="2" t="s">
        <v>708</v>
      </c>
      <c r="B57" s="3" t="s">
        <v>709</v>
      </c>
      <c r="C57" s="3" t="s">
        <v>710</v>
      </c>
      <c r="D57" s="3" t="s">
        <v>640</v>
      </c>
      <c r="E57" s="3" t="s">
        <v>711</v>
      </c>
      <c r="F57" s="4">
        <f>ROUND(IF(('Group Inputs'!X4+'Group Inputs'!BY4+'Group Inputs'!CE4)=0,0,('Group Inputs'!CC4+'Group Inputs'!CD4)/('Group Inputs'!X4+'Group Inputs'!BY4+'Group Inputs'!CE4)),2)</f>
        <v>15.85</v>
      </c>
      <c r="G57" s="4">
        <f>ROUND(IF(('Group Inputs'!X5+'Group Inputs'!BY5+'Group Inputs'!CE5)=0,0,('Group Inputs'!CC5+'Group Inputs'!CD5)/('Group Inputs'!X5+'Group Inputs'!BY5+'Group Inputs'!CE5)),2)</f>
        <v>15.91</v>
      </c>
      <c r="H57" s="4">
        <f>ROUND(IF(('Group Inputs'!X6+'Group Inputs'!BY6+'Group Inputs'!CE6)=0,0,('Group Inputs'!CC6+'Group Inputs'!CD6)/('Group Inputs'!X6+'Group Inputs'!BY6+'Group Inputs'!CE6)),2)</f>
        <v>16.11</v>
      </c>
      <c r="I57" s="4">
        <f>ROUND(IF(('Group Inputs'!X7+'Group Inputs'!BY7+'Group Inputs'!CE7)=0,0,('Group Inputs'!CC7+'Group Inputs'!CD7)/('Group Inputs'!X7+'Group Inputs'!BY7+'Group Inputs'!CE7)),2)</f>
        <v>16.2</v>
      </c>
      <c r="J57" s="4">
        <f>ROUND(IF(('Group Inputs'!X8+'Group Inputs'!BY8+'Group Inputs'!CE8)=0,0,('Group Inputs'!CC8+'Group Inputs'!CD8)/('Group Inputs'!X8+'Group Inputs'!BY8+'Group Inputs'!CE8)),2)</f>
        <v>15.88</v>
      </c>
      <c r="K57" s="4">
        <f>ROUND(IF(('Group Inputs'!X9+'Group Inputs'!BY9+'Group Inputs'!CE9)=0,0,('Group Inputs'!CC9+'Group Inputs'!CD9)/('Group Inputs'!X9+'Group Inputs'!BY9+'Group Inputs'!CE9)),2)</f>
        <v>16.71</v>
      </c>
      <c r="L57" s="3" t="s">
        <v>712</v>
      </c>
      <c r="M57" s="3" t="s">
        <v>659</v>
      </c>
      <c r="N57" s="3" t="s">
        <v>713</v>
      </c>
    </row>
    <row r="58" spans="1:14">
      <c r="A58" s="2" t="s">
        <v>714</v>
      </c>
      <c r="B58" s="3" t="s">
        <v>715</v>
      </c>
      <c r="C58" s="3" t="s">
        <v>447</v>
      </c>
      <c r="D58" s="3" t="s">
        <v>640</v>
      </c>
      <c r="E58" s="3" t="s">
        <v>716</v>
      </c>
      <c r="F58" s="4">
        <f>ROUND(IF('Group Inputs'!GC4=0,0,100*(Parameters!$B$4-'Group Inputs'!GB4/'Group Inputs'!GC4)/Parameters!$B$4),2)</f>
        <v>27.53</v>
      </c>
      <c r="G58" s="4">
        <f>ROUND(IF('Group Inputs'!GC5=0,0,100*(Parameters!$B$4-'Group Inputs'!GB5/'Group Inputs'!GC5)/Parameters!$B$4),2)</f>
        <v>19.59</v>
      </c>
      <c r="H58" s="4">
        <f>ROUND(IF('Group Inputs'!GC6=0,0,100*(Parameters!$B$4-'Group Inputs'!GB6/'Group Inputs'!GC6)/Parameters!$B$4),2)</f>
        <v>15.98</v>
      </c>
      <c r="I58" s="4">
        <f>ROUND(IF('Group Inputs'!GC7=0,0,100*(Parameters!$B$4-'Group Inputs'!GB7/'Group Inputs'!GC7)/Parameters!$B$4),2)</f>
        <v>18.76</v>
      </c>
      <c r="J58" s="4">
        <f>ROUND(IF('Group Inputs'!GC8=0,0,100*(Parameters!$B$4-'Group Inputs'!GB8/'Group Inputs'!GC8)/Parameters!$B$4),2)</f>
        <v>17.84</v>
      </c>
      <c r="K58" s="4">
        <f>ROUND(IF('Group Inputs'!GC9=0,0,100*(Parameters!$B$4-'Group Inputs'!GB9/'Group Inputs'!GC9)/Parameters!$B$4),2)</f>
        <v>24.44</v>
      </c>
      <c r="L58" s="3" t="s">
        <v>717</v>
      </c>
      <c r="M58" s="3" t="s">
        <v>659</v>
      </c>
      <c r="N58" s="3" t="s">
        <v>718</v>
      </c>
    </row>
    <row r="59" spans="1:14">
      <c r="A59" s="2" t="s">
        <v>719</v>
      </c>
      <c r="B59" s="3" t="s">
        <v>720</v>
      </c>
      <c r="C59" s="3" t="s">
        <v>614</v>
      </c>
      <c r="D59" s="3" t="s">
        <v>640</v>
      </c>
      <c r="E59" s="3" t="s">
        <v>721</v>
      </c>
      <c r="F59" s="4">
        <f>ROUND('Group Inputs'!CF4/1000,2)</f>
        <v>844.3</v>
      </c>
      <c r="G59" s="4">
        <f>ROUND('Group Inputs'!CF5/1000,2)</f>
        <v>922.92</v>
      </c>
      <c r="H59" s="4">
        <f>ROUND('Group Inputs'!CF6/1000,2)</f>
        <v>881.23</v>
      </c>
      <c r="I59" s="4">
        <f>ROUND('Group Inputs'!CF7/1000,2)</f>
        <v>910.31</v>
      </c>
      <c r="J59" s="4">
        <f>ROUND('Group Inputs'!CF8/1000,2)</f>
        <v>866.12</v>
      </c>
      <c r="K59" s="4">
        <f>ROUND('Group Inputs'!CF9/1000,2)</f>
        <v>891.41</v>
      </c>
      <c r="L59" s="3" t="s">
        <v>722</v>
      </c>
      <c r="M59" s="3" t="s">
        <v>659</v>
      </c>
      <c r="N59" s="3" t="s">
        <v>204</v>
      </c>
    </row>
    <row r="60" spans="1:14">
      <c r="A60" s="2" t="s">
        <v>723</v>
      </c>
      <c r="B60" s="3" t="s">
        <v>724</v>
      </c>
      <c r="C60" s="3" t="s">
        <v>614</v>
      </c>
      <c r="D60" s="3" t="s">
        <v>640</v>
      </c>
      <c r="E60" s="3" t="s">
        <v>725</v>
      </c>
      <c r="F60" s="4">
        <f>ROUND('Group Inputs'!CG4/1000,2)</f>
        <v>2721.45</v>
      </c>
      <c r="G60" s="4">
        <f>ROUND('Group Inputs'!CG5/1000,2)</f>
        <v>2519.26</v>
      </c>
      <c r="H60" s="4">
        <f>ROUND('Group Inputs'!CG6/1000,2)</f>
        <v>2568.18</v>
      </c>
      <c r="I60" s="4">
        <f>ROUND('Group Inputs'!CG7/1000,2)</f>
        <v>2622.48</v>
      </c>
      <c r="J60" s="4">
        <f>ROUND('Group Inputs'!CG8/1000,2)</f>
        <v>2627.52</v>
      </c>
      <c r="K60" s="4">
        <f>ROUND('Group Inputs'!CG9/1000,2)</f>
        <v>2720.83</v>
      </c>
      <c r="L60" s="3" t="s">
        <v>726</v>
      </c>
      <c r="M60" s="3" t="s">
        <v>727</v>
      </c>
      <c r="N60" s="3" t="s">
        <v>206</v>
      </c>
    </row>
    <row r="61" spans="1:14">
      <c r="A61" s="2" t="s">
        <v>728</v>
      </c>
      <c r="B61" s="3" t="s">
        <v>729</v>
      </c>
      <c r="C61" s="3" t="s">
        <v>614</v>
      </c>
      <c r="D61" s="3" t="s">
        <v>640</v>
      </c>
      <c r="E61" s="3" t="s">
        <v>730</v>
      </c>
      <c r="F61" s="4">
        <f>ROUND(('Group Inputs'!CZ4-'Group Inputs'!DA4)/1000,2)</f>
        <v>190.79</v>
      </c>
      <c r="G61" s="4">
        <f>ROUND(('Group Inputs'!CZ5-'Group Inputs'!DA5)/1000,2)</f>
        <v>207.5</v>
      </c>
      <c r="H61" s="4">
        <f>ROUND(('Group Inputs'!CZ6-'Group Inputs'!DA6)/1000,2)</f>
        <v>188.28</v>
      </c>
      <c r="I61" s="4">
        <f>ROUND(('Group Inputs'!CZ7-'Group Inputs'!DA7)/1000,2)</f>
        <v>227.78</v>
      </c>
      <c r="J61" s="4">
        <f>ROUND(('Group Inputs'!CZ8-'Group Inputs'!DA8)/1000,2)</f>
        <v>225.53</v>
      </c>
      <c r="K61" s="4">
        <f>ROUND(('Group Inputs'!CZ9-'Group Inputs'!DA9)/1000,2)</f>
        <v>221.72</v>
      </c>
      <c r="L61" s="3" t="s">
        <v>731</v>
      </c>
      <c r="M61" s="3" t="s">
        <v>659</v>
      </c>
      <c r="N61" s="3" t="s">
        <v>732</v>
      </c>
    </row>
    <row r="62" spans="1:14">
      <c r="A62" s="2" t="s">
        <v>733</v>
      </c>
      <c r="B62" s="3" t="s">
        <v>734</v>
      </c>
      <c r="C62" s="3" t="s">
        <v>447</v>
      </c>
      <c r="D62" s="3" t="s">
        <v>21</v>
      </c>
      <c r="E62" s="3" t="s">
        <v>735</v>
      </c>
      <c r="F62" s="4">
        <f>ROUND(IF('Group Inputs'!DE4=0,0,100*'Group Inputs'!DD4/'Group Inputs'!DE4),2)</f>
        <v>89.09</v>
      </c>
      <c r="G62" s="4">
        <f>ROUND(IF('Group Inputs'!DE5=0,0,100*'Group Inputs'!DD5/'Group Inputs'!DE5),2)</f>
        <v>92.53</v>
      </c>
      <c r="H62" s="4">
        <f>ROUND(IF('Group Inputs'!DE6=0,0,100*'Group Inputs'!DD6/'Group Inputs'!DE6),2)</f>
        <v>92.84</v>
      </c>
      <c r="I62" s="4">
        <f>ROUND(IF('Group Inputs'!DE7=0,0,100*'Group Inputs'!DD7/'Group Inputs'!DE7),2)</f>
        <v>90.54</v>
      </c>
      <c r="J62" s="4">
        <f>ROUND(IF('Group Inputs'!DE8=0,0,100*'Group Inputs'!DD8/'Group Inputs'!DE8),2)</f>
        <v>92.99</v>
      </c>
      <c r="K62" s="4">
        <f>ROUND(IF('Group Inputs'!DE9=0,0,100*'Group Inputs'!DD9/'Group Inputs'!DE9),2)</f>
        <v>91.7</v>
      </c>
      <c r="L62" s="3" t="s">
        <v>736</v>
      </c>
      <c r="M62" s="3" t="s">
        <v>659</v>
      </c>
      <c r="N62" s="3" t="s">
        <v>737</v>
      </c>
    </row>
    <row r="63" spans="1:14">
      <c r="A63" s="2" t="s">
        <v>738</v>
      </c>
      <c r="B63" s="3" t="s">
        <v>739</v>
      </c>
      <c r="C63" s="3" t="s">
        <v>447</v>
      </c>
      <c r="D63" s="3" t="s">
        <v>640</v>
      </c>
      <c r="E63" s="3" t="s">
        <v>740</v>
      </c>
      <c r="F63" s="4">
        <f>ROUND(IF(('Group Inputs'!CZ4-'Group Inputs'!DA4)=0,0,100*('Group Inputs'!DB4-'Group Inputs'!DC4)/('Group Inputs'!CZ4-'Group Inputs'!DA4)),2)</f>
        <v>80.23</v>
      </c>
      <c r="G63" s="4">
        <f>ROUND(IF(('Group Inputs'!CZ5-'Group Inputs'!DA5)=0,0,100*('Group Inputs'!DB5-'Group Inputs'!DC5)/('Group Inputs'!CZ5-'Group Inputs'!DA5)),2)</f>
        <v>82.15</v>
      </c>
      <c r="H63" s="4">
        <f>ROUND(IF(('Group Inputs'!CZ6-'Group Inputs'!DA6)=0,0,100*('Group Inputs'!DB6-'Group Inputs'!DC6)/('Group Inputs'!CZ6-'Group Inputs'!DA6)),2)</f>
        <v>78.55</v>
      </c>
      <c r="I63" s="4">
        <f>ROUND(IF(('Group Inputs'!CZ7-'Group Inputs'!DA7)=0,0,100*('Group Inputs'!DB7-'Group Inputs'!DC7)/('Group Inputs'!CZ7-'Group Inputs'!DA7)),2)</f>
        <v>80.32</v>
      </c>
      <c r="J63" s="4">
        <f>ROUND(IF(('Group Inputs'!CZ8-'Group Inputs'!DA8)=0,0,100*('Group Inputs'!DB8-'Group Inputs'!DC8)/('Group Inputs'!CZ8-'Group Inputs'!DA8)),2)</f>
        <v>71.35</v>
      </c>
      <c r="K63" s="4">
        <f>ROUND(IF(('Group Inputs'!CZ9-'Group Inputs'!DA9)=0,0,100*('Group Inputs'!DB9-'Group Inputs'!DC9)/('Group Inputs'!CZ9-'Group Inputs'!DA9)),2)</f>
        <v>75.83</v>
      </c>
      <c r="L63" s="3" t="s">
        <v>741</v>
      </c>
      <c r="M63" s="3" t="s">
        <v>742</v>
      </c>
      <c r="N63" s="3" t="s">
        <v>743</v>
      </c>
    </row>
    <row r="64" spans="1:14">
      <c r="A64" s="2" t="s">
        <v>744</v>
      </c>
      <c r="B64" s="3" t="s">
        <v>745</v>
      </c>
      <c r="C64" s="3" t="s">
        <v>447</v>
      </c>
      <c r="D64" s="3" t="s">
        <v>746</v>
      </c>
      <c r="E64" s="3" t="s">
        <v>747</v>
      </c>
      <c r="F64" s="4">
        <f>ROUND(IF('Group Inputs'!DF4=0,0,100*'Group Inputs'!DG4/'Group Inputs'!DF4),2)</f>
        <v>70.22</v>
      </c>
      <c r="G64" s="4">
        <f>ROUND(IF('Group Inputs'!DF5=0,0,100*'Group Inputs'!DG5/'Group Inputs'!DF5),2)</f>
        <v>71.1</v>
      </c>
      <c r="H64" s="4">
        <f>ROUND(IF('Group Inputs'!DF6=0,0,100*'Group Inputs'!DG6/'Group Inputs'!DF6),2)</f>
        <v>69.89</v>
      </c>
      <c r="I64" s="4">
        <f>ROUND(IF('Group Inputs'!DF7=0,0,100*'Group Inputs'!DG7/'Group Inputs'!DF7),2)</f>
        <v>68.44</v>
      </c>
      <c r="J64" s="4">
        <f>ROUND(IF('Group Inputs'!DF8=0,0,100*'Group Inputs'!DG8/'Group Inputs'!DF8),2)</f>
        <v>69.67</v>
      </c>
      <c r="K64" s="4">
        <f>ROUND(IF('Group Inputs'!DF9=0,0,100*'Group Inputs'!DG9/'Group Inputs'!DF9),2)</f>
        <v>70.65</v>
      </c>
      <c r="L64" s="3" t="s">
        <v>748</v>
      </c>
      <c r="M64" s="3" t="s">
        <v>659</v>
      </c>
      <c r="N64" s="3" t="s">
        <v>749</v>
      </c>
    </row>
    <row r="65" spans="1:14">
      <c r="A65" s="2" t="s">
        <v>750</v>
      </c>
      <c r="B65" s="3" t="s">
        <v>751</v>
      </c>
      <c r="C65" s="3" t="s">
        <v>614</v>
      </c>
      <c r="D65" s="3" t="s">
        <v>640</v>
      </c>
      <c r="E65" s="3" t="s">
        <v>752</v>
      </c>
      <c r="F65" s="4">
        <f>ROUND(0.05*('Group Inputs'!DB4-'Group Inputs'!DC4)/1000,2)</f>
        <v>7.65</v>
      </c>
      <c r="G65" s="4">
        <f>ROUND(0.05*('Group Inputs'!DB5-'Group Inputs'!DC5)/1000,2)</f>
        <v>8.52</v>
      </c>
      <c r="H65" s="4">
        <f>ROUND(0.05*('Group Inputs'!DB6-'Group Inputs'!DC6)/1000,2)</f>
        <v>7.39</v>
      </c>
      <c r="I65" s="4">
        <f>ROUND(0.05*('Group Inputs'!DB7-'Group Inputs'!DC7)/1000,2)</f>
        <v>9.15</v>
      </c>
      <c r="J65" s="4">
        <f>ROUND(0.05*('Group Inputs'!DB8-'Group Inputs'!DC8)/1000,2)</f>
        <v>8.05</v>
      </c>
      <c r="K65" s="4">
        <f>ROUND(0.05*('Group Inputs'!DB9-'Group Inputs'!DC9)/1000,2)</f>
        <v>8.41</v>
      </c>
      <c r="L65" s="3" t="s">
        <v>753</v>
      </c>
      <c r="M65" s="3" t="s">
        <v>742</v>
      </c>
      <c r="N65" s="3" t="s">
        <v>754</v>
      </c>
    </row>
    <row r="66" spans="1:14">
      <c r="A66" s="2" t="s">
        <v>755</v>
      </c>
      <c r="B66" s="3" t="s">
        <v>756</v>
      </c>
      <c r="C66" s="3" t="s">
        <v>614</v>
      </c>
      <c r="D66" s="3" t="s">
        <v>757</v>
      </c>
      <c r="E66" s="3" t="s">
        <v>758</v>
      </c>
      <c r="F66" s="4">
        <f>ROUND('Group Inputs'!DH4/1000,2)</f>
        <v>1860.0</v>
      </c>
      <c r="G66" s="4">
        <f>ROUND('Group Inputs'!DH5/1000,2)</f>
        <v>1860.0</v>
      </c>
      <c r="H66" s="4">
        <f>ROUND('Group Inputs'!DH6/1000,2)</f>
        <v>1860.0</v>
      </c>
      <c r="I66" s="4">
        <f>ROUND('Group Inputs'!DH7/1000,2)</f>
        <v>1860.0</v>
      </c>
      <c r="J66" s="4">
        <f>ROUND('Group Inputs'!DH8/1000,2)</f>
        <v>1860.0</v>
      </c>
      <c r="K66" s="4">
        <f>ROUND('Group Inputs'!DH9/1000,2)</f>
        <v>1860.0</v>
      </c>
      <c r="L66" s="3" t="s">
        <v>759</v>
      </c>
      <c r="M66" s="3" t="s">
        <v>760</v>
      </c>
      <c r="N66" s="3" t="s">
        <v>260</v>
      </c>
    </row>
    <row r="67" spans="1:14">
      <c r="A67" s="2" t="s">
        <v>761</v>
      </c>
      <c r="B67" s="3" t="s">
        <v>762</v>
      </c>
      <c r="C67" s="3" t="s">
        <v>614</v>
      </c>
      <c r="D67" s="3" t="s">
        <v>763</v>
      </c>
      <c r="E67" s="3" t="s">
        <v>764</v>
      </c>
      <c r="F67" s="4">
        <f>ROUND('Group Inputs'!DI4/1000,2)</f>
        <v>838.53</v>
      </c>
      <c r="G67" s="4">
        <f>ROUND('Group Inputs'!DI5/1000,2)</f>
        <v>933.32</v>
      </c>
      <c r="H67" s="4">
        <f>ROUND('Group Inputs'!DI6/1000,2)</f>
        <v>1037.26</v>
      </c>
      <c r="I67" s="4">
        <f>ROUND('Group Inputs'!DI7/1000,2)</f>
        <v>1134.85</v>
      </c>
      <c r="J67" s="4">
        <f>ROUND('Group Inputs'!DI8/1000,2)</f>
        <v>1238.53</v>
      </c>
      <c r="K67" s="4">
        <f>ROUND('Group Inputs'!DI9/1000,2)</f>
        <v>1347.73</v>
      </c>
      <c r="L67" s="3" t="s">
        <v>765</v>
      </c>
      <c r="M67" s="3" t="s">
        <v>760</v>
      </c>
      <c r="N67" s="3" t="s">
        <v>262</v>
      </c>
    </row>
    <row r="68" spans="1:14">
      <c r="A68" s="2" t="s">
        <v>766</v>
      </c>
      <c r="B68" s="3" t="s">
        <v>767</v>
      </c>
      <c r="C68" s="3" t="s">
        <v>614</v>
      </c>
      <c r="D68" s="3" t="s">
        <v>615</v>
      </c>
      <c r="E68" s="3" t="s">
        <v>768</v>
      </c>
      <c r="F68" s="4">
        <f>ROUND(SUM('Group Inputs'!DJ$4:DJ4)/1000,2)</f>
        <v>146.56</v>
      </c>
      <c r="G68" s="4">
        <f>ROUND(SUM('Group Inputs'!DJ$4:DJ5)/1000,2)</f>
        <v>291.62</v>
      </c>
      <c r="H68" s="4">
        <f>ROUND(SUM('Group Inputs'!DJ$4:DJ6)/1000,2)</f>
        <v>435.28</v>
      </c>
      <c r="I68" s="4">
        <f>ROUND(SUM('Group Inputs'!DJ$4:DJ7)/1000,2)</f>
        <v>582.9</v>
      </c>
      <c r="J68" s="4">
        <f>ROUND(SUM('Group Inputs'!DJ$4:DJ8)/1000,2)</f>
        <v>734.84</v>
      </c>
      <c r="K68" s="4">
        <f>ROUND(SUM('Group Inputs'!DJ$4:DJ9)/1000,2)</f>
        <v>879.71</v>
      </c>
      <c r="L68" s="3" t="s">
        <v>769</v>
      </c>
      <c r="M68" s="3" t="s">
        <v>760</v>
      </c>
      <c r="N68" s="3" t="s">
        <v>264</v>
      </c>
    </row>
    <row r="69" spans="1:14">
      <c r="A69" s="2" t="s">
        <v>770</v>
      </c>
      <c r="B69" s="3" t="s">
        <v>771</v>
      </c>
      <c r="C69" s="3" t="s">
        <v>447</v>
      </c>
      <c r="D69" s="3" t="s">
        <v>763</v>
      </c>
      <c r="E69" s="3" t="s">
        <v>772</v>
      </c>
      <c r="F69" s="4">
        <f>ROUND(IF('Group Inputs'!DH4=0,0,100*'Group Inputs'!DK4/'Group Inputs'!DH4),2)</f>
        <v>38.0</v>
      </c>
      <c r="G69" s="4">
        <f>ROUND(IF('Group Inputs'!DH5=0,0,100*'Group Inputs'!DK5/'Group Inputs'!DH5),2)</f>
        <v>42.57</v>
      </c>
      <c r="H69" s="4">
        <f>ROUND(IF('Group Inputs'!DH6=0,0,100*'Group Inputs'!DK6/'Group Inputs'!DH6),2)</f>
        <v>47.14</v>
      </c>
      <c r="I69" s="4">
        <f>ROUND(IF('Group Inputs'!DH7=0,0,100*'Group Inputs'!DK7/'Group Inputs'!DH7),2)</f>
        <v>51.71</v>
      </c>
      <c r="J69" s="4">
        <f>ROUND(IF('Group Inputs'!DH8=0,0,100*'Group Inputs'!DK8/'Group Inputs'!DH8),2)</f>
        <v>56.28</v>
      </c>
      <c r="K69" s="4">
        <f>ROUND(IF('Group Inputs'!DH9=0,0,100*'Group Inputs'!DK9/'Group Inputs'!DH9),2)</f>
        <v>60.85</v>
      </c>
      <c r="L69" s="3" t="s">
        <v>773</v>
      </c>
      <c r="M69" s="3" t="s">
        <v>774</v>
      </c>
      <c r="N69" s="3" t="s">
        <v>775</v>
      </c>
    </row>
    <row r="70" spans="1:14">
      <c r="A70" s="2" t="s">
        <v>776</v>
      </c>
      <c r="B70" s="3" t="s">
        <v>777</v>
      </c>
      <c r="C70" s="3" t="s">
        <v>614</v>
      </c>
      <c r="D70" s="3" t="s">
        <v>640</v>
      </c>
      <c r="E70" s="3" t="s">
        <v>778</v>
      </c>
      <c r="F70" s="4">
        <f>ROUND('Group Inputs'!DL4/1000,2)</f>
        <v>139.24</v>
      </c>
      <c r="G70" s="4">
        <f>ROUND('Group Inputs'!DL5/1000,2)</f>
        <v>161.83</v>
      </c>
      <c r="H70" s="4">
        <f>ROUND('Group Inputs'!DL6/1000,2)</f>
        <v>152.29</v>
      </c>
      <c r="I70" s="4">
        <f>ROUND('Group Inputs'!DL7/1000,2)</f>
        <v>153.97</v>
      </c>
      <c r="J70" s="4">
        <f>ROUND('Group Inputs'!DL8/1000,2)</f>
        <v>153.09</v>
      </c>
      <c r="K70" s="4">
        <f>ROUND('Group Inputs'!DL9/1000,2)</f>
        <v>148.03</v>
      </c>
      <c r="L70" s="3" t="s">
        <v>779</v>
      </c>
      <c r="M70" s="3" t="s">
        <v>760</v>
      </c>
      <c r="N70" s="3" t="s">
        <v>268</v>
      </c>
    </row>
    <row r="71" spans="1:14">
      <c r="A71" s="2" t="s">
        <v>780</v>
      </c>
      <c r="B71" s="3" t="s">
        <v>781</v>
      </c>
      <c r="C71" s="3" t="s">
        <v>782</v>
      </c>
      <c r="D71" s="3" t="s">
        <v>640</v>
      </c>
      <c r="E71" s="3" t="s">
        <v>783</v>
      </c>
      <c r="F71" s="8" t="str">
        <f>'Group Inputs'!DM4&amp;" on track · "&amp;'Group Inputs'!DN4&amp;" at risk · "&amp;'Group Inputs'!DO4&amp;" off track"</f>
        <v>9 on track · 2 at risk · 0 off track</v>
      </c>
      <c r="G71" s="8" t="str">
        <f>'Group Inputs'!DM5&amp;" on track · "&amp;'Group Inputs'!DN5&amp;" at risk · "&amp;'Group Inputs'!DO5&amp;" off track"</f>
        <v>9 on track · 2 at risk · 0 off track</v>
      </c>
      <c r="H71" s="8" t="str">
        <f>'Group Inputs'!DM6&amp;" on track · "&amp;'Group Inputs'!DN6&amp;" at risk · "&amp;'Group Inputs'!DO6&amp;" off track"</f>
        <v>9 on track · 2 at risk · 0 off track</v>
      </c>
      <c r="I71" s="8" t="str">
        <f>'Group Inputs'!DM7&amp;" on track · "&amp;'Group Inputs'!DN7&amp;" at risk · "&amp;'Group Inputs'!DO7&amp;" off track"</f>
        <v>9 on track · 2 at risk · 0 off track</v>
      </c>
      <c r="J71" s="8" t="str">
        <f>'Group Inputs'!DM8&amp;" on track · "&amp;'Group Inputs'!DN8&amp;" at risk · "&amp;'Group Inputs'!DO8&amp;" off track"</f>
        <v>9 on track · 2 at risk · 0 off track</v>
      </c>
      <c r="K71" s="8" t="str">
        <f>'Group Inputs'!DM9&amp;" on track · "&amp;'Group Inputs'!DN9&amp;" at risk · "&amp;'Group Inputs'!DO9&amp;" off track"</f>
        <v>9 on track · 2 at risk · 0 off track</v>
      </c>
      <c r="L71" s="3" t="s">
        <v>784</v>
      </c>
      <c r="M71" s="3" t="s">
        <v>785</v>
      </c>
      <c r="N71" s="3" t="s">
        <v>786</v>
      </c>
    </row>
    <row r="72" spans="1:14">
      <c r="A72" s="2" t="s">
        <v>787</v>
      </c>
      <c r="B72" s="3" t="s">
        <v>788</v>
      </c>
      <c r="C72" s="3" t="s">
        <v>447</v>
      </c>
      <c r="D72" s="3" t="s">
        <v>615</v>
      </c>
      <c r="E72" s="3" t="s">
        <v>789</v>
      </c>
      <c r="F72" s="4">
        <f>ROUND(IF(SUM('Group Inputs'!DX$4:DX4)=0,0,100*SUM('Group Inputs'!DY$4:DY4)/SUM('Group Inputs'!DX$4:DX4)),2)</f>
        <v>46.69</v>
      </c>
      <c r="G72" s="4">
        <f>ROUND(IF(SUM('Group Inputs'!DX$4:DX5)=0,0,100*SUM('Group Inputs'!DY$4:DY5)/SUM('Group Inputs'!DX$4:DX5)),2)</f>
        <v>47.85</v>
      </c>
      <c r="H72" s="4">
        <f>ROUND(IF(SUM('Group Inputs'!DX$4:DX6)=0,0,100*SUM('Group Inputs'!DY$4:DY6)/SUM('Group Inputs'!DX$4:DX6)),2)</f>
        <v>47.74</v>
      </c>
      <c r="I72" s="4">
        <f>ROUND(IF(SUM('Group Inputs'!DX$4:DX7)=0,0,100*SUM('Group Inputs'!DY$4:DY7)/SUM('Group Inputs'!DX$4:DX7)),2)</f>
        <v>48.04</v>
      </c>
      <c r="J72" s="4">
        <f>ROUND(IF(SUM('Group Inputs'!DX$4:DX8)=0,0,100*SUM('Group Inputs'!DY$4:DY8)/SUM('Group Inputs'!DX$4:DX8)),2)</f>
        <v>48.1</v>
      </c>
      <c r="K72" s="4">
        <f>ROUND(IF(SUM('Group Inputs'!DX$4:DX9)=0,0,100*SUM('Group Inputs'!DY$4:DY9)/SUM('Group Inputs'!DX$4:DX9)),2)</f>
        <v>47.96</v>
      </c>
      <c r="L72" s="3" t="s">
        <v>790</v>
      </c>
      <c r="M72" s="3" t="s">
        <v>760</v>
      </c>
      <c r="N72" s="3" t="s">
        <v>791</v>
      </c>
    </row>
    <row r="73" spans="1:14">
      <c r="A73" s="2" t="s">
        <v>792</v>
      </c>
      <c r="B73" s="3" t="s">
        <v>793</v>
      </c>
      <c r="C73" s="3" t="s">
        <v>539</v>
      </c>
      <c r="D73" s="3" t="s">
        <v>640</v>
      </c>
      <c r="E73" s="3" t="s">
        <v>794</v>
      </c>
      <c r="F73" s="4">
        <f>ROUND('Group Inputs'!DP4,2)</f>
        <v>0.0</v>
      </c>
      <c r="G73" s="4">
        <f>ROUND('Group Inputs'!DP5,2)</f>
        <v>0.0</v>
      </c>
      <c r="H73" s="4">
        <f>ROUND('Group Inputs'!DP6,2)</f>
        <v>0.0</v>
      </c>
      <c r="I73" s="4">
        <f>ROUND('Group Inputs'!DP7,2)</f>
        <v>1.0</v>
      </c>
      <c r="J73" s="4">
        <f>ROUND('Group Inputs'!DP8,2)</f>
        <v>1.0</v>
      </c>
      <c r="K73" s="4">
        <f>ROUND('Group Inputs'!DP9,2)</f>
        <v>1.0</v>
      </c>
      <c r="L73" s="3" t="s">
        <v>795</v>
      </c>
      <c r="M73" s="3" t="s">
        <v>760</v>
      </c>
      <c r="N73" s="3" t="s">
        <v>276</v>
      </c>
    </row>
    <row r="74" spans="1:14">
      <c r="A74" s="2" t="s">
        <v>796</v>
      </c>
      <c r="B74" s="3" t="s">
        <v>797</v>
      </c>
      <c r="C74" s="3" t="s">
        <v>447</v>
      </c>
      <c r="D74" s="3" t="s">
        <v>763</v>
      </c>
      <c r="E74" s="3" t="s">
        <v>798</v>
      </c>
      <c r="F74" s="4">
        <f>ROUND(IF('Group Inputs'!DV4=0,0,100*'Group Inputs'!DW4/'Group Inputs'!DV4),2)</f>
        <v>29.84</v>
      </c>
      <c r="G74" s="4">
        <f>ROUND(IF('Group Inputs'!DV5=0,0,100*'Group Inputs'!DW5/'Group Inputs'!DV5),2)</f>
        <v>34.68</v>
      </c>
      <c r="H74" s="4">
        <f>ROUND(IF('Group Inputs'!DV6=0,0,100*'Group Inputs'!DW6/'Group Inputs'!DV6),2)</f>
        <v>39.52</v>
      </c>
      <c r="I74" s="4">
        <f>ROUND(IF('Group Inputs'!DV7=0,0,100*'Group Inputs'!DW7/'Group Inputs'!DV7),2)</f>
        <v>44.35</v>
      </c>
      <c r="J74" s="4">
        <f>ROUND(IF('Group Inputs'!DV8=0,0,100*'Group Inputs'!DW8/'Group Inputs'!DV8),2)</f>
        <v>49.19</v>
      </c>
      <c r="K74" s="4">
        <f>ROUND(IF('Group Inputs'!DV9=0,0,100*'Group Inputs'!DW9/'Group Inputs'!DV9),2)</f>
        <v>54.03</v>
      </c>
      <c r="L74" s="3" t="s">
        <v>799</v>
      </c>
      <c r="M74" s="3" t="s">
        <v>800</v>
      </c>
      <c r="N74" s="3" t="s">
        <v>801</v>
      </c>
    </row>
    <row r="75" spans="1:14">
      <c r="A75" s="2" t="s">
        <v>802</v>
      </c>
      <c r="B75" s="3" t="s">
        <v>803</v>
      </c>
      <c r="C75" s="3" t="s">
        <v>447</v>
      </c>
      <c r="D75" s="3" t="s">
        <v>763</v>
      </c>
      <c r="E75" s="3" t="s">
        <v>798</v>
      </c>
      <c r="F75" s="4">
        <f>ROUND(IF('Group Inputs'!DV4=0,0,100*'Group Inputs'!DW4/'Group Inputs'!DV4),2)</f>
        <v>29.84</v>
      </c>
      <c r="G75" s="4">
        <f>ROUND(IF('Group Inputs'!DV5=0,0,100*'Group Inputs'!DW5/'Group Inputs'!DV5),2)</f>
        <v>34.68</v>
      </c>
      <c r="H75" s="4">
        <f>ROUND(IF('Group Inputs'!DV6=0,0,100*'Group Inputs'!DW6/'Group Inputs'!DV6),2)</f>
        <v>39.52</v>
      </c>
      <c r="I75" s="4">
        <f>ROUND(IF('Group Inputs'!DV7=0,0,100*'Group Inputs'!DW7/'Group Inputs'!DV7),2)</f>
        <v>44.35</v>
      </c>
      <c r="J75" s="4">
        <f>ROUND(IF('Group Inputs'!DV8=0,0,100*'Group Inputs'!DW8/'Group Inputs'!DV8),2)</f>
        <v>49.19</v>
      </c>
      <c r="K75" s="4">
        <f>ROUND(IF('Group Inputs'!DV9=0,0,100*'Group Inputs'!DW9/'Group Inputs'!DV9),2)</f>
        <v>54.03</v>
      </c>
      <c r="L75" s="3" t="s">
        <v>799</v>
      </c>
      <c r="M75" s="3" t="s">
        <v>804</v>
      </c>
      <c r="N75" s="3" t="s">
        <v>801</v>
      </c>
    </row>
    <row r="76" spans="1:14">
      <c r="A76" s="2" t="s">
        <v>805</v>
      </c>
      <c r="B76" s="3" t="s">
        <v>806</v>
      </c>
      <c r="C76" s="3" t="s">
        <v>782</v>
      </c>
      <c r="D76" s="3" t="s">
        <v>640</v>
      </c>
      <c r="E76" s="3" t="s">
        <v>807</v>
      </c>
      <c r="F76" s="8" t="str">
        <f>'Group Inputs'!DS4&amp;" on track · "&amp;'Group Inputs'!DT4&amp;" at risk · "&amp;'Group Inputs'!DU4&amp;" delayed"</f>
        <v>15 on track · 6 at risk · 3 delayed</v>
      </c>
      <c r="G76" s="8" t="str">
        <f>'Group Inputs'!DS5&amp;" on track · "&amp;'Group Inputs'!DT5&amp;" at risk · "&amp;'Group Inputs'!DU5&amp;" delayed"</f>
        <v>15 on track · 6 at risk · 3 delayed</v>
      </c>
      <c r="H76" s="8" t="str">
        <f>'Group Inputs'!DS6&amp;" on track · "&amp;'Group Inputs'!DT6&amp;" at risk · "&amp;'Group Inputs'!DU6&amp;" delayed"</f>
        <v>15 on track · 6 at risk · 3 delayed</v>
      </c>
      <c r="I76" s="8" t="str">
        <f>'Group Inputs'!DS7&amp;" on track · "&amp;'Group Inputs'!DT7&amp;" at risk · "&amp;'Group Inputs'!DU7&amp;" delayed"</f>
        <v>15 on track · 6 at risk · 3 delayed</v>
      </c>
      <c r="J76" s="8" t="str">
        <f>'Group Inputs'!DS8&amp;" on track · "&amp;'Group Inputs'!DT8&amp;" at risk · "&amp;'Group Inputs'!DU8&amp;" delayed"</f>
        <v>15 on track · 6 at risk · 3 delayed</v>
      </c>
      <c r="K76" s="8" t="str">
        <f>'Group Inputs'!DS9&amp;" on track · "&amp;'Group Inputs'!DT9&amp;" at risk · "&amp;'Group Inputs'!DU9&amp;" delayed"</f>
        <v>15 on track · 6 at risk · 3 delayed</v>
      </c>
      <c r="L76" s="3" t="s">
        <v>808</v>
      </c>
      <c r="M76" s="3" t="s">
        <v>809</v>
      </c>
      <c r="N76" s="3" t="s">
        <v>810</v>
      </c>
    </row>
    <row r="77" spans="1:14">
      <c r="A77" s="2" t="s">
        <v>811</v>
      </c>
      <c r="B77" s="3" t="s">
        <v>812</v>
      </c>
      <c r="C77" s="3" t="s">
        <v>185</v>
      </c>
      <c r="D77" s="3" t="s">
        <v>21</v>
      </c>
      <c r="E77" s="3" t="s">
        <v>813</v>
      </c>
      <c r="F77" s="4">
        <f>ROUND(IF('Group Inputs'!DQ4=0,0,'Group Inputs'!DR4/'Group Inputs'!DQ4),2)</f>
        <v>2.36</v>
      </c>
      <c r="G77" s="4">
        <f>ROUND(IF('Group Inputs'!DQ5=0,0,'Group Inputs'!DR5/'Group Inputs'!DQ5),2)</f>
        <v>2.2</v>
      </c>
      <c r="H77" s="4">
        <f>ROUND(IF('Group Inputs'!DQ6=0,0,'Group Inputs'!DR6/'Group Inputs'!DQ6),2)</f>
        <v>2.18</v>
      </c>
      <c r="I77" s="4">
        <f>ROUND(IF('Group Inputs'!DQ7=0,0,'Group Inputs'!DR7/'Group Inputs'!DQ7),2)</f>
        <v>2.1</v>
      </c>
      <c r="J77" s="4">
        <f>ROUND(IF('Group Inputs'!DQ8=0,0,'Group Inputs'!DR8/'Group Inputs'!DQ8),2)</f>
        <v>2.15</v>
      </c>
      <c r="K77" s="4">
        <f>ROUND(IF('Group Inputs'!DQ9=0,0,'Group Inputs'!DR9/'Group Inputs'!DQ9),2)</f>
        <v>1.73</v>
      </c>
      <c r="L77" s="3" t="s">
        <v>461</v>
      </c>
      <c r="M77" s="3" t="s">
        <v>814</v>
      </c>
      <c r="N77" s="3" t="s">
        <v>815</v>
      </c>
    </row>
    <row r="78" spans="1:14">
      <c r="A78" s="2" t="s">
        <v>816</v>
      </c>
      <c r="B78" s="3" t="s">
        <v>817</v>
      </c>
      <c r="C78" s="3" t="s">
        <v>614</v>
      </c>
      <c r="D78" s="3" t="s">
        <v>615</v>
      </c>
      <c r="E78" s="3" t="s">
        <v>818</v>
      </c>
      <c r="F78" s="4">
        <f>ROUND(SUM('Group Inputs'!DZ$4:DZ4)/1000,2)</f>
        <v>2.36</v>
      </c>
      <c r="G78" s="4">
        <f>ROUND(SUM('Group Inputs'!DZ$4:DZ5)/1000,2)</f>
        <v>4.7</v>
      </c>
      <c r="H78" s="4">
        <f>ROUND(SUM('Group Inputs'!DZ$4:DZ6)/1000,2)</f>
        <v>7.09</v>
      </c>
      <c r="I78" s="4">
        <f>ROUND(SUM('Group Inputs'!DZ$4:DZ7)/1000,2)</f>
        <v>9.47</v>
      </c>
      <c r="J78" s="4">
        <f>ROUND(SUM('Group Inputs'!DZ$4:DZ8)/1000,2)</f>
        <v>11.86</v>
      </c>
      <c r="K78" s="4">
        <f>ROUND(SUM('Group Inputs'!DZ$4:DZ9)/1000,2)</f>
        <v>14.21</v>
      </c>
      <c r="L78" s="3" t="s">
        <v>819</v>
      </c>
      <c r="M78" s="3" t="s">
        <v>760</v>
      </c>
      <c r="N78" s="3" t="s">
        <v>296</v>
      </c>
    </row>
    <row r="79" spans="1:14">
      <c r="A79" s="2" t="s">
        <v>820</v>
      </c>
      <c r="B79" s="3" t="s">
        <v>821</v>
      </c>
      <c r="C79" s="3" t="s">
        <v>614</v>
      </c>
      <c r="D79" s="3" t="s">
        <v>615</v>
      </c>
      <c r="E79" s="3" t="s">
        <v>822</v>
      </c>
      <c r="F79" s="4">
        <f>ROUND(SUM('Group Inputs'!EA$4:EA4)/1000,2)</f>
        <v>1.44</v>
      </c>
      <c r="G79" s="4">
        <f>ROUND(SUM('Group Inputs'!EA$4:EA5)/1000,2)</f>
        <v>2.94</v>
      </c>
      <c r="H79" s="4">
        <f>ROUND(SUM('Group Inputs'!EA$4:EA6)/1000,2)</f>
        <v>4.37</v>
      </c>
      <c r="I79" s="4">
        <f>ROUND(SUM('Group Inputs'!EA$4:EA7)/1000,2)</f>
        <v>5.86</v>
      </c>
      <c r="J79" s="4">
        <f>ROUND(SUM('Group Inputs'!EA$4:EA8)/1000,2)</f>
        <v>7.28</v>
      </c>
      <c r="K79" s="4">
        <f>ROUND(SUM('Group Inputs'!EA$4:EA9)/1000,2)</f>
        <v>8.71</v>
      </c>
      <c r="L79" s="3" t="s">
        <v>823</v>
      </c>
      <c r="M79" s="3" t="s">
        <v>760</v>
      </c>
      <c r="N79" s="3" t="s">
        <v>298</v>
      </c>
    </row>
    <row r="80" spans="1:14">
      <c r="A80" s="2" t="s">
        <v>824</v>
      </c>
      <c r="B80" s="3" t="s">
        <v>825</v>
      </c>
      <c r="C80" s="3" t="s">
        <v>614</v>
      </c>
      <c r="D80" s="3" t="s">
        <v>615</v>
      </c>
      <c r="E80" s="3" t="s">
        <v>826</v>
      </c>
      <c r="F80" s="4">
        <f>ROUND(SUM('Group Inputs'!EB$4:EB4)/1000,2)</f>
        <v>1.77</v>
      </c>
      <c r="G80" s="4">
        <f>ROUND(SUM('Group Inputs'!EB$4:EB5)/1000,2)</f>
        <v>3.67</v>
      </c>
      <c r="H80" s="4">
        <f>ROUND(SUM('Group Inputs'!EB$4:EB6)/1000,2)</f>
        <v>5.56</v>
      </c>
      <c r="I80" s="4">
        <f>ROUND(SUM('Group Inputs'!EB$4:EB7)/1000,2)</f>
        <v>7.47</v>
      </c>
      <c r="J80" s="4">
        <f>ROUND(SUM('Group Inputs'!EB$4:EB8)/1000,2)</f>
        <v>9.36</v>
      </c>
      <c r="K80" s="4">
        <f>ROUND(SUM('Group Inputs'!EB$4:EB9)/1000,2)</f>
        <v>11.25</v>
      </c>
      <c r="L80" s="3" t="s">
        <v>827</v>
      </c>
      <c r="M80" s="3" t="s">
        <v>760</v>
      </c>
      <c r="N80" s="3" t="s">
        <v>300</v>
      </c>
    </row>
    <row r="81" spans="1:14">
      <c r="A81" s="2" t="s">
        <v>828</v>
      </c>
      <c r="B81" s="3" t="s">
        <v>829</v>
      </c>
      <c r="C81" s="3" t="s">
        <v>447</v>
      </c>
      <c r="D81" s="3" t="s">
        <v>21</v>
      </c>
      <c r="E81" s="3" t="s">
        <v>830</v>
      </c>
      <c r="F81" s="4">
        <f>ROUND(IF('Group Inputs'!AY4=0,0,100*'Group Inputs'!AZ4/'Group Inputs'!AY4),2)</f>
        <v>91.11</v>
      </c>
      <c r="G81" s="4">
        <f>ROUND(IF('Group Inputs'!AY5=0,0,100*'Group Inputs'!AZ5/'Group Inputs'!AY5),2)</f>
        <v>91.39</v>
      </c>
      <c r="H81" s="4">
        <f>ROUND(IF('Group Inputs'!AY6=0,0,100*'Group Inputs'!AZ6/'Group Inputs'!AY6),2)</f>
        <v>92.06</v>
      </c>
      <c r="I81" s="4">
        <f>ROUND(IF('Group Inputs'!AY7=0,0,100*'Group Inputs'!AZ7/'Group Inputs'!AY7),2)</f>
        <v>91.89</v>
      </c>
      <c r="J81" s="4">
        <f>ROUND(IF('Group Inputs'!AY8=0,0,100*'Group Inputs'!AZ8/'Group Inputs'!AY8),2)</f>
        <v>91.17</v>
      </c>
      <c r="K81" s="4">
        <f>ROUND(IF('Group Inputs'!AY9=0,0,100*'Group Inputs'!AZ9/'Group Inputs'!AY9),2)</f>
        <v>91.41</v>
      </c>
      <c r="L81" s="3" t="s">
        <v>736</v>
      </c>
      <c r="M81" s="3" t="s">
        <v>831</v>
      </c>
      <c r="N81" s="3" t="s">
        <v>832</v>
      </c>
    </row>
    <row r="82" spans="1:14">
      <c r="A82" s="2" t="s">
        <v>833</v>
      </c>
      <c r="B82" s="3" t="s">
        <v>834</v>
      </c>
      <c r="C82" s="3" t="s">
        <v>447</v>
      </c>
      <c r="D82" s="3" t="s">
        <v>21</v>
      </c>
      <c r="E82" s="3" t="s">
        <v>835</v>
      </c>
      <c r="F82" s="4">
        <f>ROUND(IF('Group Inputs'!BA4=0,0,100*'Group Inputs'!BB4/'Group Inputs'!BA4),2)</f>
        <v>95.96</v>
      </c>
      <c r="G82" s="4">
        <f>ROUND(IF('Group Inputs'!BA5=0,0,100*'Group Inputs'!BB5/'Group Inputs'!BA5),2)</f>
        <v>95.52</v>
      </c>
      <c r="H82" s="4">
        <f>ROUND(IF('Group Inputs'!BA6=0,0,100*'Group Inputs'!BB6/'Group Inputs'!BA6),2)</f>
        <v>96.93</v>
      </c>
      <c r="I82" s="4">
        <f>ROUND(IF('Group Inputs'!BA7=0,0,100*'Group Inputs'!BB7/'Group Inputs'!BA7),2)</f>
        <v>95.87</v>
      </c>
      <c r="J82" s="4">
        <f>ROUND(IF('Group Inputs'!BA8=0,0,100*'Group Inputs'!BB8/'Group Inputs'!BA8),2)</f>
        <v>96.93</v>
      </c>
      <c r="K82" s="4">
        <f>ROUND(IF('Group Inputs'!BA9=0,0,100*'Group Inputs'!BB9/'Group Inputs'!BA9),2)</f>
        <v>96.82</v>
      </c>
      <c r="L82" s="3" t="s">
        <v>461</v>
      </c>
      <c r="M82" s="3"/>
      <c r="N82" s="3" t="s">
        <v>836</v>
      </c>
    </row>
    <row r="83" spans="1:14">
      <c r="A83" s="2" t="s">
        <v>837</v>
      </c>
      <c r="B83" s="3" t="s">
        <v>838</v>
      </c>
      <c r="C83" s="3" t="s">
        <v>447</v>
      </c>
      <c r="D83" s="3" t="s">
        <v>21</v>
      </c>
      <c r="E83" s="3" t="s">
        <v>839</v>
      </c>
      <c r="F83" s="4">
        <f>ROUND(IF('Group Inputs'!BB4=0,0,100*'Group Inputs'!BC4/'Group Inputs'!BB4),2)</f>
        <v>1.19</v>
      </c>
      <c r="G83" s="4">
        <f>ROUND(IF('Group Inputs'!BB5=0,0,100*'Group Inputs'!BC5/'Group Inputs'!BB5),2)</f>
        <v>0.93</v>
      </c>
      <c r="H83" s="4">
        <f>ROUND(IF('Group Inputs'!BB6=0,0,100*'Group Inputs'!BC6/'Group Inputs'!BB6),2)</f>
        <v>0.87</v>
      </c>
      <c r="I83" s="4">
        <f>ROUND(IF('Group Inputs'!BB7=0,0,100*'Group Inputs'!BC7/'Group Inputs'!BB7),2)</f>
        <v>0.9</v>
      </c>
      <c r="J83" s="4">
        <f>ROUND(IF('Group Inputs'!BB8=0,0,100*'Group Inputs'!BC8/'Group Inputs'!BB8),2)</f>
        <v>1.33</v>
      </c>
      <c r="K83" s="4">
        <f>ROUND(IF('Group Inputs'!BB9=0,0,100*'Group Inputs'!BC9/'Group Inputs'!BB9),2)</f>
        <v>1.12</v>
      </c>
      <c r="L83" s="3" t="s">
        <v>461</v>
      </c>
      <c r="M83" s="3"/>
      <c r="N83" s="3" t="s">
        <v>840</v>
      </c>
    </row>
    <row r="84" spans="1:14">
      <c r="A84" s="2" t="s">
        <v>841</v>
      </c>
      <c r="B84" s="3" t="s">
        <v>842</v>
      </c>
      <c r="C84" s="3" t="s">
        <v>447</v>
      </c>
      <c r="D84" s="3" t="s">
        <v>21</v>
      </c>
      <c r="E84" s="3" t="s">
        <v>843</v>
      </c>
      <c r="F84" s="4">
        <f>ROUND(IF('Group Inputs'!BD4=0,0,100*('Group Inputs'!BE4-'Group Inputs'!BD4)/'Group Inputs'!BD4),2)</f>
        <v>5.29</v>
      </c>
      <c r="G84" s="4">
        <f>ROUND(IF('Group Inputs'!BD5=0,0,100*('Group Inputs'!BE5-'Group Inputs'!BD5)/'Group Inputs'!BD5),2)</f>
        <v>2.93</v>
      </c>
      <c r="H84" s="4">
        <f>ROUND(IF('Group Inputs'!BD6=0,0,100*('Group Inputs'!BE6-'Group Inputs'!BD6)/'Group Inputs'!BD6),2)</f>
        <v>3.18</v>
      </c>
      <c r="I84" s="4">
        <f>ROUND(IF('Group Inputs'!BD7=0,0,100*('Group Inputs'!BE7-'Group Inputs'!BD7)/'Group Inputs'!BD7),2)</f>
        <v>2.48</v>
      </c>
      <c r="J84" s="4">
        <f>ROUND(IF('Group Inputs'!BD8=0,0,100*('Group Inputs'!BE8-'Group Inputs'!BD8)/'Group Inputs'!BD8),2)</f>
        <v>2.53</v>
      </c>
      <c r="K84" s="4">
        <f>ROUND(IF('Group Inputs'!BD9=0,0,100*('Group Inputs'!BE9-'Group Inputs'!BD9)/'Group Inputs'!BD9),2)</f>
        <v>5.25</v>
      </c>
      <c r="L84" s="3" t="s">
        <v>844</v>
      </c>
      <c r="M84" s="3" t="s">
        <v>845</v>
      </c>
      <c r="N84" s="3" t="s">
        <v>846</v>
      </c>
    </row>
    <row r="85" spans="1:14">
      <c r="A85" s="2" t="s">
        <v>847</v>
      </c>
      <c r="B85" s="3" t="s">
        <v>848</v>
      </c>
      <c r="C85" s="3" t="s">
        <v>539</v>
      </c>
      <c r="D85" s="3" t="s">
        <v>640</v>
      </c>
      <c r="E85" s="3" t="s">
        <v>849</v>
      </c>
      <c r="F85" s="4">
        <f>ROUND('Group Inputs'!EG4,2)</f>
        <v>3.0</v>
      </c>
      <c r="G85" s="4">
        <f>ROUND('Group Inputs'!EG5,2)</f>
        <v>3.0</v>
      </c>
      <c r="H85" s="4">
        <f>ROUND('Group Inputs'!EG6,2)</f>
        <v>3.0</v>
      </c>
      <c r="I85" s="4">
        <f>ROUND('Group Inputs'!EG7,2)</f>
        <v>3.0</v>
      </c>
      <c r="J85" s="4">
        <f>ROUND('Group Inputs'!EG8,2)</f>
        <v>3.0</v>
      </c>
      <c r="K85" s="4">
        <f>ROUND('Group Inputs'!EG9,2)</f>
        <v>3.0</v>
      </c>
      <c r="L85" s="3" t="s">
        <v>850</v>
      </c>
      <c r="M85" s="3" t="s">
        <v>845</v>
      </c>
      <c r="N85" s="3" t="s">
        <v>310</v>
      </c>
    </row>
    <row r="86" spans="1:14">
      <c r="A86" s="2" t="s">
        <v>851</v>
      </c>
      <c r="B86" s="3" t="s">
        <v>852</v>
      </c>
      <c r="C86" s="3" t="s">
        <v>447</v>
      </c>
      <c r="D86" s="3" t="s">
        <v>21</v>
      </c>
      <c r="E86" s="3" t="s">
        <v>853</v>
      </c>
      <c r="F86" s="4">
        <f>ROUND(IF('Group Inputs'!BF4=0,0,100*'Group Inputs'!BG4/'Group Inputs'!BF4),2)</f>
        <v>34.56</v>
      </c>
      <c r="G86" s="4">
        <f>ROUND(IF('Group Inputs'!BF5=0,0,100*'Group Inputs'!BG5/'Group Inputs'!BF5),2)</f>
        <v>36.53</v>
      </c>
      <c r="H86" s="4">
        <f>ROUND(IF('Group Inputs'!BF6=0,0,100*'Group Inputs'!BG6/'Group Inputs'!BF6),2)</f>
        <v>37.4</v>
      </c>
      <c r="I86" s="4">
        <f>ROUND(IF('Group Inputs'!BF7=0,0,100*'Group Inputs'!BG7/'Group Inputs'!BF7),2)</f>
        <v>36.17</v>
      </c>
      <c r="J86" s="4">
        <f>ROUND(IF('Group Inputs'!BF8=0,0,100*'Group Inputs'!BG8/'Group Inputs'!BF8),2)</f>
        <v>36.78</v>
      </c>
      <c r="K86" s="4">
        <f>ROUND(IF('Group Inputs'!BF9=0,0,100*'Group Inputs'!BG9/'Group Inputs'!BF9),2)</f>
        <v>35.19</v>
      </c>
      <c r="L86" s="3" t="s">
        <v>844</v>
      </c>
      <c r="M86" s="3" t="s">
        <v>597</v>
      </c>
      <c r="N86" s="3" t="s">
        <v>854</v>
      </c>
    </row>
    <row r="87" spans="1:14">
      <c r="A87" s="2" t="s">
        <v>855</v>
      </c>
      <c r="B87" s="3" t="s">
        <v>856</v>
      </c>
      <c r="C87" s="3" t="s">
        <v>539</v>
      </c>
      <c r="D87" s="3" t="s">
        <v>615</v>
      </c>
      <c r="E87" s="3" t="s">
        <v>857</v>
      </c>
      <c r="F87" s="4">
        <f>ROUND(SUM('Group Inputs'!BH$4:BH4),2)</f>
        <v>0.0</v>
      </c>
      <c r="G87" s="4">
        <f>ROUND(SUM('Group Inputs'!BH$4:BH5),2)</f>
        <v>0.0</v>
      </c>
      <c r="H87" s="4">
        <f>ROUND(SUM('Group Inputs'!BH$4:BH6),2)</f>
        <v>1.0</v>
      </c>
      <c r="I87" s="4">
        <f>ROUND(SUM('Group Inputs'!BH$4:BH7),2)</f>
        <v>1.0</v>
      </c>
      <c r="J87" s="4">
        <f>ROUND(SUM('Group Inputs'!BH$4:BH8),2)</f>
        <v>1.0</v>
      </c>
      <c r="K87" s="4">
        <f>ROUND(SUM('Group Inputs'!BH$4:BH9),2)</f>
        <v>3.0</v>
      </c>
      <c r="L87" s="3" t="s">
        <v>563</v>
      </c>
      <c r="M87" s="3" t="s">
        <v>597</v>
      </c>
      <c r="N87" s="3" t="s">
        <v>137</v>
      </c>
    </row>
    <row r="88" spans="1:14">
      <c r="A88" s="2" t="s">
        <v>858</v>
      </c>
      <c r="B88" s="3" t="s">
        <v>859</v>
      </c>
      <c r="C88" s="3" t="s">
        <v>539</v>
      </c>
      <c r="D88" s="3" t="s">
        <v>640</v>
      </c>
      <c r="E88" s="3" t="s">
        <v>860</v>
      </c>
      <c r="F88" s="4">
        <f>ROUND('Group Inputs'!EE4,2)</f>
        <v>3.0</v>
      </c>
      <c r="G88" s="4">
        <f>ROUND('Group Inputs'!EE5,2)</f>
        <v>5.0</v>
      </c>
      <c r="H88" s="4">
        <f>ROUND('Group Inputs'!EE6,2)</f>
        <v>4.0</v>
      </c>
      <c r="I88" s="4">
        <f>ROUND('Group Inputs'!EE7,2)</f>
        <v>5.0</v>
      </c>
      <c r="J88" s="4">
        <f>ROUND('Group Inputs'!EE8,2)</f>
        <v>4.0</v>
      </c>
      <c r="K88" s="4">
        <f>ROUND('Group Inputs'!EE9,2)</f>
        <v>4.0</v>
      </c>
      <c r="L88" s="3" t="s">
        <v>861</v>
      </c>
      <c r="M88" s="3" t="s">
        <v>862</v>
      </c>
      <c r="N88" s="3" t="s">
        <v>306</v>
      </c>
    </row>
    <row r="89" spans="1:14">
      <c r="A89" s="2" t="s">
        <v>863</v>
      </c>
      <c r="B89" s="3" t="s">
        <v>864</v>
      </c>
      <c r="C89" s="3" t="s">
        <v>447</v>
      </c>
      <c r="D89" s="3" t="s">
        <v>640</v>
      </c>
      <c r="E89" s="3" t="s">
        <v>865</v>
      </c>
      <c r="F89" s="4">
        <f>ROUND(IF('Group Inputs'!EC4=0,0,100*'Group Inputs'!ED4/'Group Inputs'!EC4),2)</f>
        <v>96.43</v>
      </c>
      <c r="G89" s="4">
        <f>ROUND(IF('Group Inputs'!EC5=0,0,100*'Group Inputs'!ED5/'Group Inputs'!EC5),2)</f>
        <v>95.0</v>
      </c>
      <c r="H89" s="4">
        <f>ROUND(IF('Group Inputs'!EC6=0,0,100*'Group Inputs'!ED6/'Group Inputs'!EC6),2)</f>
        <v>96.43</v>
      </c>
      <c r="I89" s="4">
        <f>ROUND(IF('Group Inputs'!EC7=0,0,100*'Group Inputs'!ED7/'Group Inputs'!EC7),2)</f>
        <v>95.0</v>
      </c>
      <c r="J89" s="4">
        <f>ROUND(IF('Group Inputs'!EC8=0,0,100*'Group Inputs'!ED8/'Group Inputs'!EC8),2)</f>
        <v>95.0</v>
      </c>
      <c r="K89" s="4">
        <f>ROUND(IF('Group Inputs'!EC9=0,0,100*'Group Inputs'!ED9/'Group Inputs'!EC9),2)</f>
        <v>95.71</v>
      </c>
      <c r="L89" s="3" t="s">
        <v>866</v>
      </c>
      <c r="M89" s="3" t="s">
        <v>862</v>
      </c>
      <c r="N89" s="3" t="s">
        <v>867</v>
      </c>
    </row>
    <row r="90" spans="1:14">
      <c r="A90" s="2" t="s">
        <v>868</v>
      </c>
      <c r="B90" s="3" t="s">
        <v>869</v>
      </c>
      <c r="C90" s="3" t="s">
        <v>539</v>
      </c>
      <c r="D90" s="3" t="s">
        <v>640</v>
      </c>
      <c r="E90" s="3" t="s">
        <v>870</v>
      </c>
      <c r="F90" s="4">
        <f>ROUND('Group Inputs'!EF4,2)</f>
        <v>1.0</v>
      </c>
      <c r="G90" s="4">
        <f>ROUND('Group Inputs'!EF5,2)</f>
        <v>1.0</v>
      </c>
      <c r="H90" s="4">
        <f>ROUND('Group Inputs'!EF6,2)</f>
        <v>0.0</v>
      </c>
      <c r="I90" s="4">
        <f>ROUND('Group Inputs'!EF7,2)</f>
        <v>1.0</v>
      </c>
      <c r="J90" s="4">
        <f>ROUND('Group Inputs'!EF8,2)</f>
        <v>0.0</v>
      </c>
      <c r="K90" s="4">
        <f>ROUND('Group Inputs'!EF9,2)</f>
        <v>0.0</v>
      </c>
      <c r="L90" s="3" t="s">
        <v>795</v>
      </c>
      <c r="M90" s="3" t="s">
        <v>871</v>
      </c>
      <c r="N90" s="3" t="s">
        <v>308</v>
      </c>
    </row>
    <row r="91" spans="1:14">
      <c r="A91" s="2" t="s">
        <v>872</v>
      </c>
      <c r="B91" s="3" t="s">
        <v>873</v>
      </c>
      <c r="C91" s="3" t="s">
        <v>539</v>
      </c>
      <c r="D91" s="3" t="s">
        <v>640</v>
      </c>
      <c r="E91" s="3" t="s">
        <v>874</v>
      </c>
      <c r="F91" s="4">
        <f>ROUND('Group Inputs'!BI4,2)</f>
        <v>3.0</v>
      </c>
      <c r="G91" s="4">
        <f>ROUND('Group Inputs'!BI5,2)</f>
        <v>3.0</v>
      </c>
      <c r="H91" s="4">
        <f>ROUND('Group Inputs'!BI6,2)</f>
        <v>1.0</v>
      </c>
      <c r="I91" s="4">
        <f>ROUND('Group Inputs'!BI7,2)</f>
        <v>1.0</v>
      </c>
      <c r="J91" s="4">
        <f>ROUND('Group Inputs'!BI8,2)</f>
        <v>0.0</v>
      </c>
      <c r="K91" s="4">
        <f>ROUND('Group Inputs'!BI9,2)</f>
        <v>0.0</v>
      </c>
      <c r="L91" s="3" t="s">
        <v>875</v>
      </c>
      <c r="M91" s="3" t="s">
        <v>576</v>
      </c>
      <c r="N91" s="3" t="s">
        <v>139</v>
      </c>
    </row>
    <row r="92" spans="1:14">
      <c r="A92" s="2" t="s">
        <v>876</v>
      </c>
      <c r="B92" s="3" t="s">
        <v>877</v>
      </c>
      <c r="C92" s="3" t="s">
        <v>539</v>
      </c>
      <c r="D92" s="3" t="s">
        <v>640</v>
      </c>
      <c r="E92" s="3" t="s">
        <v>878</v>
      </c>
      <c r="F92" s="4">
        <f>ROUND('Group Inputs'!BJ4,2)</f>
        <v>2.0</v>
      </c>
      <c r="G92" s="4">
        <f>ROUND('Group Inputs'!BJ5,2)</f>
        <v>1.0</v>
      </c>
      <c r="H92" s="4">
        <f>ROUND('Group Inputs'!BJ6,2)</f>
        <v>2.0</v>
      </c>
      <c r="I92" s="4">
        <f>ROUND('Group Inputs'!BJ7,2)</f>
        <v>2.0</v>
      </c>
      <c r="J92" s="4">
        <f>ROUND('Group Inputs'!BJ8,2)</f>
        <v>0.0</v>
      </c>
      <c r="K92" s="4">
        <f>ROUND('Group Inputs'!BJ9,2)</f>
        <v>3.0</v>
      </c>
      <c r="L92" s="3" t="s">
        <v>875</v>
      </c>
      <c r="M92" s="3" t="s">
        <v>576</v>
      </c>
      <c r="N92" s="3" t="s">
        <v>141</v>
      </c>
    </row>
    <row r="93" spans="1:14">
      <c r="A93" s="2" t="s">
        <v>879</v>
      </c>
      <c r="B93" s="3" t="s">
        <v>880</v>
      </c>
      <c r="C93" s="3" t="s">
        <v>539</v>
      </c>
      <c r="D93" s="3" t="s">
        <v>640</v>
      </c>
      <c r="E93" s="3" t="s">
        <v>881</v>
      </c>
      <c r="F93" s="4">
        <f>ROUND('Group Inputs'!BK4,2)</f>
        <v>3.0</v>
      </c>
      <c r="G93" s="4">
        <f>ROUND('Group Inputs'!BK5,2)</f>
        <v>1.0</v>
      </c>
      <c r="H93" s="4">
        <f>ROUND('Group Inputs'!BK6,2)</f>
        <v>3.0</v>
      </c>
      <c r="I93" s="4">
        <f>ROUND('Group Inputs'!BK7,2)</f>
        <v>2.0</v>
      </c>
      <c r="J93" s="4">
        <f>ROUND('Group Inputs'!BK8,2)</f>
        <v>2.0</v>
      </c>
      <c r="K93" s="4">
        <f>ROUND('Group Inputs'!BK9,2)</f>
        <v>1.0</v>
      </c>
      <c r="L93" s="3" t="s">
        <v>882</v>
      </c>
      <c r="M93" s="3" t="s">
        <v>576</v>
      </c>
      <c r="N93" s="3" t="s">
        <v>143</v>
      </c>
    </row>
    <row r="94" spans="1:14">
      <c r="A94" s="2" t="s">
        <v>883</v>
      </c>
      <c r="B94" s="3" t="s">
        <v>884</v>
      </c>
      <c r="C94" s="3" t="s">
        <v>539</v>
      </c>
      <c r="D94" s="3" t="s">
        <v>640</v>
      </c>
      <c r="E94" s="3" t="s">
        <v>885</v>
      </c>
      <c r="F94" s="4">
        <f>ROUND('Group Inputs'!BL4,2)</f>
        <v>4.0</v>
      </c>
      <c r="G94" s="4">
        <f>ROUND('Group Inputs'!BL5,2)</f>
        <v>2.0</v>
      </c>
      <c r="H94" s="4">
        <f>ROUND('Group Inputs'!BL6,2)</f>
        <v>4.0</v>
      </c>
      <c r="I94" s="4">
        <f>ROUND('Group Inputs'!BL7,2)</f>
        <v>4.0</v>
      </c>
      <c r="J94" s="4">
        <f>ROUND('Group Inputs'!BL8,2)</f>
        <v>4.0</v>
      </c>
      <c r="K94" s="4">
        <f>ROUND('Group Inputs'!BL9,2)</f>
        <v>2.0</v>
      </c>
      <c r="L94" s="3" t="s">
        <v>886</v>
      </c>
      <c r="M94" s="3" t="s">
        <v>576</v>
      </c>
      <c r="N94" s="3" t="s">
        <v>145</v>
      </c>
    </row>
    <row r="95" spans="1:14">
      <c r="A95" s="2" t="s">
        <v>887</v>
      </c>
      <c r="B95" s="3" t="s">
        <v>888</v>
      </c>
      <c r="C95" s="3" t="s">
        <v>539</v>
      </c>
      <c r="D95" s="3" t="s">
        <v>640</v>
      </c>
      <c r="E95" s="3" t="s">
        <v>889</v>
      </c>
      <c r="F95" s="4">
        <f>ROUND('Group Inputs'!BM4,2)</f>
        <v>0.0</v>
      </c>
      <c r="G95" s="4">
        <f>ROUND('Group Inputs'!BM5,2)</f>
        <v>0.0</v>
      </c>
      <c r="H95" s="4">
        <f>ROUND('Group Inputs'!BM6,2)</f>
        <v>0.0</v>
      </c>
      <c r="I95" s="4">
        <f>ROUND('Group Inputs'!BM7,2)</f>
        <v>0.0</v>
      </c>
      <c r="J95" s="4">
        <f>ROUND('Group Inputs'!BM8,2)</f>
        <v>0.0</v>
      </c>
      <c r="K95" s="4">
        <f>ROUND('Group Inputs'!BM9,2)</f>
        <v>0.0</v>
      </c>
      <c r="L95" s="3" t="s">
        <v>563</v>
      </c>
      <c r="M95" s="3" t="s">
        <v>559</v>
      </c>
      <c r="N95" s="3" t="s">
        <v>147</v>
      </c>
    </row>
    <row r="96" spans="1:14">
      <c r="A96" s="2" t="s">
        <v>890</v>
      </c>
      <c r="B96" s="3" t="s">
        <v>891</v>
      </c>
      <c r="C96" s="3" t="s">
        <v>539</v>
      </c>
      <c r="D96" s="3" t="s">
        <v>640</v>
      </c>
      <c r="E96" s="3" t="s">
        <v>891</v>
      </c>
      <c r="F96" s="4">
        <f>ROUND('Group Inputs'!BN4,2)</f>
        <v>0.0</v>
      </c>
      <c r="G96" s="4">
        <f>ROUND('Group Inputs'!BN5,2)</f>
        <v>1.0</v>
      </c>
      <c r="H96" s="4">
        <f>ROUND('Group Inputs'!BN6,2)</f>
        <v>0.0</v>
      </c>
      <c r="I96" s="4">
        <f>ROUND('Group Inputs'!BN7,2)</f>
        <v>1.0</v>
      </c>
      <c r="J96" s="4">
        <f>ROUND('Group Inputs'!BN8,2)</f>
        <v>1.0</v>
      </c>
      <c r="K96" s="4">
        <f>ROUND('Group Inputs'!BN9,2)</f>
        <v>0.0</v>
      </c>
      <c r="L96" s="3" t="s">
        <v>882</v>
      </c>
      <c r="M96" s="3" t="s">
        <v>576</v>
      </c>
      <c r="N96" s="3" t="s">
        <v>149</v>
      </c>
    </row>
    <row r="97" spans="1:14">
      <c r="A97" s="2" t="s">
        <v>892</v>
      </c>
      <c r="B97" s="3" t="s">
        <v>893</v>
      </c>
      <c r="C97" s="3" t="s">
        <v>539</v>
      </c>
      <c r="D97" s="3" t="s">
        <v>640</v>
      </c>
      <c r="E97" s="3" t="s">
        <v>893</v>
      </c>
      <c r="F97" s="4">
        <f>ROUND('Group Inputs'!BO4,2)</f>
        <v>0.0</v>
      </c>
      <c r="G97" s="4">
        <f>ROUND('Group Inputs'!BO5,2)</f>
        <v>0.0</v>
      </c>
      <c r="H97" s="4">
        <f>ROUND('Group Inputs'!BO6,2)</f>
        <v>0.0</v>
      </c>
      <c r="I97" s="4">
        <f>ROUND('Group Inputs'!BO7,2)</f>
        <v>0.0</v>
      </c>
      <c r="J97" s="4">
        <f>ROUND('Group Inputs'!BO8,2)</f>
        <v>0.0</v>
      </c>
      <c r="K97" s="4">
        <f>ROUND('Group Inputs'!BO9,2)</f>
        <v>0.0</v>
      </c>
      <c r="L97" s="3" t="s">
        <v>563</v>
      </c>
      <c r="M97" s="3" t="s">
        <v>576</v>
      </c>
      <c r="N97" s="3" t="s">
        <v>151</v>
      </c>
    </row>
    <row r="98" spans="1:14">
      <c r="A98" s="2" t="s">
        <v>894</v>
      </c>
      <c r="B98" s="3" t="s">
        <v>895</v>
      </c>
      <c r="C98" s="3" t="s">
        <v>782</v>
      </c>
      <c r="D98" s="3" t="s">
        <v>640</v>
      </c>
      <c r="E98" s="3" t="s">
        <v>896</v>
      </c>
      <c r="F98" s="8" t="str">
        <f>IF('Group Inputs'!BQ4&gt;0,"Triggered","Not triggered")</f>
        <v>Not triggered</v>
      </c>
      <c r="G98" s="8" t="str">
        <f>IF('Group Inputs'!BQ5&gt;0,"Triggered","Not triggered")</f>
        <v>Not triggered</v>
      </c>
      <c r="H98" s="8" t="str">
        <f>IF('Group Inputs'!BQ6&gt;0,"Triggered","Not triggered")</f>
        <v>Not triggered</v>
      </c>
      <c r="I98" s="8" t="str">
        <f>IF('Group Inputs'!BQ7&gt;0,"Triggered","Not triggered")</f>
        <v>Not triggered</v>
      </c>
      <c r="J98" s="8" t="str">
        <f>IF('Group Inputs'!BQ8&gt;0,"Triggered","Not triggered")</f>
        <v>Not triggered</v>
      </c>
      <c r="K98" s="8" t="str">
        <f>IF('Group Inputs'!BQ9&gt;0,"Triggered","Not triggered")</f>
        <v>Not triggered</v>
      </c>
      <c r="L98" s="3" t="s">
        <v>897</v>
      </c>
      <c r="M98" s="3" t="s">
        <v>898</v>
      </c>
      <c r="N98" s="3" t="s">
        <v>155</v>
      </c>
    </row>
    <row r="99" spans="1:14">
      <c r="A99" s="2" t="s">
        <v>899</v>
      </c>
      <c r="B99" s="3" t="s">
        <v>900</v>
      </c>
      <c r="C99" s="3" t="s">
        <v>539</v>
      </c>
      <c r="D99" s="3" t="s">
        <v>615</v>
      </c>
      <c r="E99" s="3" t="s">
        <v>901</v>
      </c>
      <c r="F99" s="4">
        <f>ROUND(SUM('Group Inputs'!BP$4:BP4),2)</f>
        <v>0.0</v>
      </c>
      <c r="G99" s="4">
        <f>ROUND(SUM('Group Inputs'!BP$4:BP5),2)</f>
        <v>0.0</v>
      </c>
      <c r="H99" s="4">
        <f>ROUND(SUM('Group Inputs'!BP$4:BP6),2)</f>
        <v>0.0</v>
      </c>
      <c r="I99" s="4">
        <f>ROUND(SUM('Group Inputs'!BP$4:BP7),2)</f>
        <v>0.0</v>
      </c>
      <c r="J99" s="4">
        <f>ROUND(SUM('Group Inputs'!BP$4:BP8),2)</f>
        <v>0.0</v>
      </c>
      <c r="K99" s="4">
        <f>ROUND(SUM('Group Inputs'!BP$4:BP9),2)</f>
        <v>0.0</v>
      </c>
      <c r="L99" s="3" t="s">
        <v>563</v>
      </c>
      <c r="M99" s="3" t="s">
        <v>902</v>
      </c>
      <c r="N99" s="3" t="s">
        <v>153</v>
      </c>
    </row>
    <row r="100" spans="1:14">
      <c r="A100" s="2" t="s">
        <v>903</v>
      </c>
      <c r="B100" s="3" t="s">
        <v>904</v>
      </c>
      <c r="C100" s="3" t="s">
        <v>539</v>
      </c>
      <c r="D100" s="3" t="s">
        <v>615</v>
      </c>
      <c r="E100" s="3" t="s">
        <v>901</v>
      </c>
      <c r="F100" s="4">
        <f>ROUND(SUM('Group Inputs'!BP$4:BP4),2)</f>
        <v>0.0</v>
      </c>
      <c r="G100" s="4">
        <f>ROUND(SUM('Group Inputs'!BP$4:BP5),2)</f>
        <v>0.0</v>
      </c>
      <c r="H100" s="4">
        <f>ROUND(SUM('Group Inputs'!BP$4:BP6),2)</f>
        <v>0.0</v>
      </c>
      <c r="I100" s="4">
        <f>ROUND(SUM('Group Inputs'!BP$4:BP7),2)</f>
        <v>0.0</v>
      </c>
      <c r="J100" s="4">
        <f>ROUND(SUM('Group Inputs'!BP$4:BP8),2)</f>
        <v>0.0</v>
      </c>
      <c r="K100" s="4">
        <f>ROUND(SUM('Group Inputs'!BP$4:BP9),2)</f>
        <v>0.0</v>
      </c>
      <c r="L100" s="3" t="s">
        <v>563</v>
      </c>
      <c r="M100" s="3" t="s">
        <v>905</v>
      </c>
      <c r="N100" s="3" t="s">
        <v>153</v>
      </c>
    </row>
    <row r="101" spans="1:14">
      <c r="A101" s="2" t="s">
        <v>906</v>
      </c>
      <c r="B101" s="3" t="s">
        <v>904</v>
      </c>
      <c r="C101" s="3" t="s">
        <v>539</v>
      </c>
      <c r="D101" s="3" t="s">
        <v>615</v>
      </c>
      <c r="E101" s="3" t="s">
        <v>901</v>
      </c>
      <c r="F101" s="4">
        <f>ROUND(SUM('Group Inputs'!BP$4:BP4),2)</f>
        <v>0.0</v>
      </c>
      <c r="G101" s="4">
        <f>ROUND(SUM('Group Inputs'!BP$4:BP5),2)</f>
        <v>0.0</v>
      </c>
      <c r="H101" s="4">
        <f>ROUND(SUM('Group Inputs'!BP$4:BP6),2)</f>
        <v>0.0</v>
      </c>
      <c r="I101" s="4">
        <f>ROUND(SUM('Group Inputs'!BP$4:BP7),2)</f>
        <v>0.0</v>
      </c>
      <c r="J101" s="4">
        <f>ROUND(SUM('Group Inputs'!BP$4:BP8),2)</f>
        <v>0.0</v>
      </c>
      <c r="K101" s="4">
        <f>ROUND(SUM('Group Inputs'!BP$4:BP9),2)</f>
        <v>0.0</v>
      </c>
      <c r="L101" s="3" t="s">
        <v>563</v>
      </c>
      <c r="M101" s="3" t="s">
        <v>907</v>
      </c>
      <c r="N101" s="3" t="s">
        <v>153</v>
      </c>
    </row>
    <row r="102" spans="1:14">
      <c r="A102" s="2" t="s">
        <v>908</v>
      </c>
      <c r="B102" s="3" t="s">
        <v>909</v>
      </c>
      <c r="C102" s="3" t="s">
        <v>539</v>
      </c>
      <c r="D102" s="3" t="s">
        <v>640</v>
      </c>
      <c r="E102" s="3" t="s">
        <v>909</v>
      </c>
      <c r="F102" s="4">
        <f>ROUND('Group Inputs'!BR4,2)</f>
        <v>0.0</v>
      </c>
      <c r="G102" s="4">
        <f>ROUND('Group Inputs'!BR5,2)</f>
        <v>0.0</v>
      </c>
      <c r="H102" s="4">
        <f>ROUND('Group Inputs'!BR6,2)</f>
        <v>0.0</v>
      </c>
      <c r="I102" s="4">
        <f>ROUND('Group Inputs'!BR7,2)</f>
        <v>0.0</v>
      </c>
      <c r="J102" s="4">
        <f>ROUND('Group Inputs'!BR8,2)</f>
        <v>0.0</v>
      </c>
      <c r="K102" s="4">
        <f>ROUND('Group Inputs'!BR9,2)</f>
        <v>0.0</v>
      </c>
      <c r="L102" s="3" t="s">
        <v>910</v>
      </c>
      <c r="M102" s="3" t="s">
        <v>559</v>
      </c>
      <c r="N102" s="3" t="s">
        <v>157</v>
      </c>
    </row>
    <row r="103" spans="1:14">
      <c r="A103" s="2" t="s">
        <v>911</v>
      </c>
      <c r="B103" s="3" t="s">
        <v>912</v>
      </c>
      <c r="C103" s="3" t="s">
        <v>447</v>
      </c>
      <c r="D103" s="3" t="s">
        <v>615</v>
      </c>
      <c r="E103" s="3" t="s">
        <v>913</v>
      </c>
      <c r="F103" s="4">
        <f>ROUND(IF(SUM('Group Inputs'!AM$4:AM4)=0,100,100*SUM('Group Inputs'!AN$4:AN4)/SUM('Group Inputs'!AM$4:AM4)),2)</f>
        <v>66.67</v>
      </c>
      <c r="G103" s="4">
        <f>ROUND(IF(SUM('Group Inputs'!AM$4:AM5)=0,100,100*SUM('Group Inputs'!AN$4:AN5)/SUM('Group Inputs'!AM$4:AM5)),2)</f>
        <v>82.35</v>
      </c>
      <c r="H103" s="4">
        <f>ROUND(IF(SUM('Group Inputs'!AM$4:AM6)=0,100,100*SUM('Group Inputs'!AN$4:AN6)/SUM('Group Inputs'!AM$4:AM6)),2)</f>
        <v>84.62</v>
      </c>
      <c r="I103" s="4">
        <f>ROUND(IF(SUM('Group Inputs'!AM$4:AM7)=0,100,100*SUM('Group Inputs'!AN$4:AN7)/SUM('Group Inputs'!AM$4:AM7)),2)</f>
        <v>84.85</v>
      </c>
      <c r="J103" s="4">
        <f>ROUND(IF(SUM('Group Inputs'!AM$4:AM8)=0,100,100*SUM('Group Inputs'!AN$4:AN8)/SUM('Group Inputs'!AM$4:AM8)),2)</f>
        <v>86.36</v>
      </c>
      <c r="K103" s="4">
        <f>ROUND(IF(SUM('Group Inputs'!AM$4:AM9)=0,100,100*SUM('Group Inputs'!AN$4:AN9)/SUM('Group Inputs'!AM$4:AM9)),2)</f>
        <v>85.42</v>
      </c>
      <c r="L103" s="3" t="s">
        <v>914</v>
      </c>
      <c r="M103" s="3" t="s">
        <v>915</v>
      </c>
      <c r="N103" s="3" t="s">
        <v>584</v>
      </c>
    </row>
    <row r="104" spans="1:14">
      <c r="A104" s="2" t="s">
        <v>916</v>
      </c>
      <c r="B104" s="3" t="s">
        <v>917</v>
      </c>
      <c r="C104" s="3" t="s">
        <v>539</v>
      </c>
      <c r="D104" s="3" t="s">
        <v>615</v>
      </c>
      <c r="E104" s="3" t="s">
        <v>918</v>
      </c>
      <c r="F104" s="4">
        <f>ROUND(SUM('Group Inputs'!EH$4:EH4),2)</f>
        <v>1.0</v>
      </c>
      <c r="G104" s="4">
        <f>ROUND(SUM('Group Inputs'!EH$4:EH5),2)</f>
        <v>1.0</v>
      </c>
      <c r="H104" s="4">
        <f>ROUND(SUM('Group Inputs'!EH$4:EH6),2)</f>
        <v>1.0</v>
      </c>
      <c r="I104" s="4">
        <f>ROUND(SUM('Group Inputs'!EH$4:EH7),2)</f>
        <v>2.0</v>
      </c>
      <c r="J104" s="4">
        <f>ROUND(SUM('Group Inputs'!EH$4:EH8),2)</f>
        <v>3.0</v>
      </c>
      <c r="K104" s="4">
        <f>ROUND(SUM('Group Inputs'!EH$4:EH9),2)</f>
        <v>4.0</v>
      </c>
      <c r="L104" s="3" t="s">
        <v>861</v>
      </c>
      <c r="M104" s="3" t="s">
        <v>559</v>
      </c>
      <c r="N104" s="3" t="s">
        <v>312</v>
      </c>
    </row>
    <row r="105" spans="1:14">
      <c r="A105" s="2" t="s">
        <v>919</v>
      </c>
      <c r="B105" s="3" t="s">
        <v>920</v>
      </c>
      <c r="C105" s="3" t="s">
        <v>539</v>
      </c>
      <c r="D105" s="3" t="s">
        <v>615</v>
      </c>
      <c r="E105" s="3" t="s">
        <v>921</v>
      </c>
      <c r="F105" s="4">
        <f>ROUND(SUM('Group Inputs'!EI$4:EI4),2)</f>
        <v>0.0</v>
      </c>
      <c r="G105" s="4">
        <f>ROUND(SUM('Group Inputs'!EI$4:EI5),2)</f>
        <v>0.0</v>
      </c>
      <c r="H105" s="4">
        <f>ROUND(SUM('Group Inputs'!EI$4:EI6),2)</f>
        <v>0.0</v>
      </c>
      <c r="I105" s="4">
        <f>ROUND(SUM('Group Inputs'!EI$4:EI7),2)</f>
        <v>0.0</v>
      </c>
      <c r="J105" s="4">
        <f>ROUND(SUM('Group Inputs'!EI$4:EI8),2)</f>
        <v>0.0</v>
      </c>
      <c r="K105" s="4">
        <f>ROUND(SUM('Group Inputs'!EI$4:EI9),2)</f>
        <v>0.0</v>
      </c>
      <c r="L105" s="3" t="s">
        <v>563</v>
      </c>
      <c r="M105" s="3" t="s">
        <v>922</v>
      </c>
      <c r="N105" s="3" t="s">
        <v>314</v>
      </c>
    </row>
    <row r="106" spans="1:14">
      <c r="A106" s="2" t="s">
        <v>923</v>
      </c>
      <c r="B106" s="3" t="s">
        <v>924</v>
      </c>
      <c r="C106" s="3" t="s">
        <v>539</v>
      </c>
      <c r="D106" s="3" t="s">
        <v>615</v>
      </c>
      <c r="E106" s="3" t="s">
        <v>925</v>
      </c>
      <c r="F106" s="4">
        <f>ROUND(SUM('Group Inputs'!EL$4:EL4),2)</f>
        <v>0.0</v>
      </c>
      <c r="G106" s="4">
        <f>ROUND(SUM('Group Inputs'!EL$4:EL5),2)</f>
        <v>0.0</v>
      </c>
      <c r="H106" s="4">
        <f>ROUND(SUM('Group Inputs'!EL$4:EL6),2)</f>
        <v>0.0</v>
      </c>
      <c r="I106" s="4">
        <f>ROUND(SUM('Group Inputs'!EL$4:EL7),2)</f>
        <v>1.0</v>
      </c>
      <c r="J106" s="4">
        <f>ROUND(SUM('Group Inputs'!EL$4:EL8),2)</f>
        <v>3.0</v>
      </c>
      <c r="K106" s="4">
        <f>ROUND(SUM('Group Inputs'!EL$4:EL9),2)</f>
        <v>4.0</v>
      </c>
      <c r="L106" s="3" t="s">
        <v>875</v>
      </c>
      <c r="M106" s="3" t="s">
        <v>559</v>
      </c>
      <c r="N106" s="3" t="s">
        <v>320</v>
      </c>
    </row>
    <row r="107" spans="1:14">
      <c r="A107" s="2" t="s">
        <v>926</v>
      </c>
      <c r="B107" s="3" t="s">
        <v>927</v>
      </c>
      <c r="C107" s="3" t="s">
        <v>539</v>
      </c>
      <c r="D107" s="3" t="s">
        <v>615</v>
      </c>
      <c r="E107" s="3" t="s">
        <v>928</v>
      </c>
      <c r="F107" s="4">
        <f>ROUND(SUM('Group Inputs'!EM$4:EM4),2)</f>
        <v>0.0</v>
      </c>
      <c r="G107" s="4">
        <f>ROUND(SUM('Group Inputs'!EM$4:EM5),2)</f>
        <v>0.0</v>
      </c>
      <c r="H107" s="4">
        <f>ROUND(SUM('Group Inputs'!EM$4:EM6),2)</f>
        <v>0.0</v>
      </c>
      <c r="I107" s="4">
        <f>ROUND(SUM('Group Inputs'!EM$4:EM7),2)</f>
        <v>0.0</v>
      </c>
      <c r="J107" s="4">
        <f>ROUND(SUM('Group Inputs'!EM$4:EM8),2)</f>
        <v>0.0</v>
      </c>
      <c r="K107" s="4">
        <f>ROUND(SUM('Group Inputs'!EM$4:EM9),2)</f>
        <v>0.0</v>
      </c>
      <c r="L107" s="3" t="s">
        <v>563</v>
      </c>
      <c r="M107" s="3" t="s">
        <v>862</v>
      </c>
      <c r="N107" s="3" t="s">
        <v>322</v>
      </c>
    </row>
    <row r="108" spans="1:14">
      <c r="A108" s="2" t="s">
        <v>929</v>
      </c>
      <c r="B108" s="3" t="s">
        <v>930</v>
      </c>
      <c r="C108" s="3" t="s">
        <v>539</v>
      </c>
      <c r="D108" s="3" t="s">
        <v>615</v>
      </c>
      <c r="E108" s="3" t="s">
        <v>931</v>
      </c>
      <c r="F108" s="4">
        <f>ROUND(SUM('Group Inputs'!EN$4:EN4),2)</f>
        <v>0.0</v>
      </c>
      <c r="G108" s="4">
        <f>ROUND(SUM('Group Inputs'!EN$4:EN5),2)</f>
        <v>0.0</v>
      </c>
      <c r="H108" s="4">
        <f>ROUND(SUM('Group Inputs'!EN$4:EN6),2)</f>
        <v>1.0</v>
      </c>
      <c r="I108" s="4">
        <f>ROUND(SUM('Group Inputs'!EN$4:EN7),2)</f>
        <v>1.0</v>
      </c>
      <c r="J108" s="4">
        <f>ROUND(SUM('Group Inputs'!EN$4:EN8),2)</f>
        <v>1.0</v>
      </c>
      <c r="K108" s="4">
        <f>ROUND(SUM('Group Inputs'!EN$4:EN9),2)</f>
        <v>1.0</v>
      </c>
      <c r="L108" s="3" t="s">
        <v>795</v>
      </c>
      <c r="M108" s="3" t="s">
        <v>559</v>
      </c>
      <c r="N108" s="3" t="s">
        <v>324</v>
      </c>
    </row>
    <row r="109" spans="1:14">
      <c r="A109" s="2" t="s">
        <v>932</v>
      </c>
      <c r="B109" s="3" t="s">
        <v>933</v>
      </c>
      <c r="C109" s="3" t="s">
        <v>539</v>
      </c>
      <c r="D109" s="3" t="s">
        <v>615</v>
      </c>
      <c r="E109" s="3" t="s">
        <v>934</v>
      </c>
      <c r="F109" s="4">
        <f>ROUND(SUM('Group Inputs'!EO$4:EO4),2)</f>
        <v>0.0</v>
      </c>
      <c r="G109" s="4">
        <f>ROUND(SUM('Group Inputs'!EO$4:EO5),2)</f>
        <v>0.0</v>
      </c>
      <c r="H109" s="4">
        <f>ROUND(SUM('Group Inputs'!EO$4:EO6),2)</f>
        <v>0.0</v>
      </c>
      <c r="I109" s="4">
        <f>ROUND(SUM('Group Inputs'!EO$4:EO7),2)</f>
        <v>0.0</v>
      </c>
      <c r="J109" s="4">
        <f>ROUND(SUM('Group Inputs'!EO$4:EO8),2)</f>
        <v>0.0</v>
      </c>
      <c r="K109" s="4">
        <f>ROUND(SUM('Group Inputs'!EO$4:EO9),2)</f>
        <v>0.0</v>
      </c>
      <c r="L109" s="3" t="s">
        <v>563</v>
      </c>
      <c r="M109" s="3" t="s">
        <v>559</v>
      </c>
      <c r="N109" s="3" t="s">
        <v>326</v>
      </c>
    </row>
    <row r="110" spans="1:14">
      <c r="A110" s="2" t="s">
        <v>935</v>
      </c>
      <c r="B110" s="3" t="s">
        <v>936</v>
      </c>
      <c r="C110" s="3" t="s">
        <v>539</v>
      </c>
      <c r="D110" s="3" t="s">
        <v>615</v>
      </c>
      <c r="E110" s="3" t="s">
        <v>937</v>
      </c>
      <c r="F110" s="4">
        <f>ROUND(SUM('Group Inputs'!EP$4:EP4),2)</f>
        <v>0.0</v>
      </c>
      <c r="G110" s="4">
        <f>ROUND(SUM('Group Inputs'!EP$4:EP5),2)</f>
        <v>0.0</v>
      </c>
      <c r="H110" s="4">
        <f>ROUND(SUM('Group Inputs'!EP$4:EP6),2)</f>
        <v>0.0</v>
      </c>
      <c r="I110" s="4">
        <f>ROUND(SUM('Group Inputs'!EP$4:EP7),2)</f>
        <v>0.0</v>
      </c>
      <c r="J110" s="4">
        <f>ROUND(SUM('Group Inputs'!EP$4:EP8),2)</f>
        <v>0.0</v>
      </c>
      <c r="K110" s="4">
        <f>ROUND(SUM('Group Inputs'!EP$4:EP9),2)</f>
        <v>0.0</v>
      </c>
      <c r="L110" s="3" t="s">
        <v>563</v>
      </c>
      <c r="M110" s="3" t="s">
        <v>559</v>
      </c>
      <c r="N110" s="3" t="s">
        <v>328</v>
      </c>
    </row>
    <row r="111" spans="1:14">
      <c r="A111" s="2" t="s">
        <v>938</v>
      </c>
      <c r="B111" s="3" t="s">
        <v>939</v>
      </c>
      <c r="C111" s="3" t="s">
        <v>539</v>
      </c>
      <c r="D111" s="3" t="s">
        <v>615</v>
      </c>
      <c r="E111" s="3" t="s">
        <v>940</v>
      </c>
      <c r="F111" s="4">
        <f>ROUND(SUM('Group Inputs'!EQ$4:EQ4),2)</f>
        <v>1.0</v>
      </c>
      <c r="G111" s="4">
        <f>ROUND(SUM('Group Inputs'!EQ$4:EQ5),2)</f>
        <v>3.0</v>
      </c>
      <c r="H111" s="4">
        <f>ROUND(SUM('Group Inputs'!EQ$4:EQ6),2)</f>
        <v>6.0</v>
      </c>
      <c r="I111" s="4">
        <f>ROUND(SUM('Group Inputs'!EQ$4:EQ7),2)</f>
        <v>7.0</v>
      </c>
      <c r="J111" s="4">
        <f>ROUND(SUM('Group Inputs'!EQ$4:EQ8),2)</f>
        <v>11.0</v>
      </c>
      <c r="K111" s="4">
        <f>ROUND(SUM('Group Inputs'!EQ$4:EQ9),2)</f>
        <v>14.0</v>
      </c>
      <c r="L111" s="3" t="s">
        <v>941</v>
      </c>
      <c r="M111" s="3" t="s">
        <v>559</v>
      </c>
      <c r="N111" s="3" t="s">
        <v>330</v>
      </c>
    </row>
    <row r="112" spans="1:14">
      <c r="A112" s="2" t="s">
        <v>942</v>
      </c>
      <c r="B112" s="3" t="s">
        <v>943</v>
      </c>
      <c r="C112" s="3" t="s">
        <v>782</v>
      </c>
      <c r="D112" s="3" t="s">
        <v>615</v>
      </c>
      <c r="E112" s="3" t="s">
        <v>944</v>
      </c>
      <c r="F112" s="8" t="str">
        <f>SUM('Group Inputs'!EK$4:EK4)&amp;" of "&amp;SUM('Group Inputs'!EJ$4:EJ4)</f>
        <v>2 of 2</v>
      </c>
      <c r="G112" s="8" t="str">
        <f>SUM('Group Inputs'!EK$4:EK5)&amp;" of "&amp;SUM('Group Inputs'!EJ$4:EJ5)</f>
        <v>3 of 4</v>
      </c>
      <c r="H112" s="8" t="str">
        <f>SUM('Group Inputs'!EK$4:EK6)&amp;" of "&amp;SUM('Group Inputs'!EJ$4:EJ6)</f>
        <v>3 of 4</v>
      </c>
      <c r="I112" s="8" t="str">
        <f>SUM('Group Inputs'!EK$4:EK7)&amp;" of "&amp;SUM('Group Inputs'!EJ$4:EJ7)</f>
        <v>4 of 6</v>
      </c>
      <c r="J112" s="8" t="str">
        <f>SUM('Group Inputs'!EK$4:EK8)&amp;" of "&amp;SUM('Group Inputs'!EJ$4:EJ8)</f>
        <v>6 of 8</v>
      </c>
      <c r="K112" s="8" t="str">
        <f>SUM('Group Inputs'!EK$4:EK9)&amp;" of "&amp;SUM('Group Inputs'!EJ$4:EJ9)</f>
        <v>6 of 8</v>
      </c>
      <c r="L112" s="3" t="s">
        <v>945</v>
      </c>
      <c r="M112" s="3" t="s">
        <v>915</v>
      </c>
      <c r="N112" s="3" t="s">
        <v>946</v>
      </c>
    </row>
    <row r="113" spans="1:14">
      <c r="A113" s="2" t="s">
        <v>947</v>
      </c>
      <c r="B113" s="3" t="s">
        <v>948</v>
      </c>
      <c r="C113" s="3" t="s">
        <v>539</v>
      </c>
      <c r="D113" s="3" t="s">
        <v>640</v>
      </c>
      <c r="E113" s="3" t="s">
        <v>949</v>
      </c>
      <c r="F113" s="4">
        <f>ROUND('Group Inputs'!ER4,2)</f>
        <v>1.0</v>
      </c>
      <c r="G113" s="4">
        <f>ROUND('Group Inputs'!ER5,2)</f>
        <v>2.0</v>
      </c>
      <c r="H113" s="4">
        <f>ROUND('Group Inputs'!ER6,2)</f>
        <v>0.0</v>
      </c>
      <c r="I113" s="4">
        <f>ROUND('Group Inputs'!ER7,2)</f>
        <v>1.0</v>
      </c>
      <c r="J113" s="4">
        <f>ROUND('Group Inputs'!ER8,2)</f>
        <v>2.0</v>
      </c>
      <c r="K113" s="4">
        <f>ROUND('Group Inputs'!ER9,2)</f>
        <v>2.0</v>
      </c>
      <c r="L113" s="3" t="s">
        <v>950</v>
      </c>
      <c r="M113" s="3" t="s">
        <v>951</v>
      </c>
      <c r="N113" s="3" t="s">
        <v>332</v>
      </c>
    </row>
    <row r="114" spans="1:14">
      <c r="A114" s="2" t="s">
        <v>952</v>
      </c>
      <c r="B114" s="3" t="s">
        <v>953</v>
      </c>
      <c r="C114" s="3" t="s">
        <v>539</v>
      </c>
      <c r="D114" s="3" t="s">
        <v>640</v>
      </c>
      <c r="E114" s="3" t="s">
        <v>954</v>
      </c>
      <c r="F114" s="4">
        <f>ROUND('Group Inputs'!ES4,2)</f>
        <v>0.0</v>
      </c>
      <c r="G114" s="4">
        <f>ROUND('Group Inputs'!ES5,2)</f>
        <v>0.0</v>
      </c>
      <c r="H114" s="4">
        <f>ROUND('Group Inputs'!ES6,2)</f>
        <v>0.0</v>
      </c>
      <c r="I114" s="4">
        <f>ROUND('Group Inputs'!ES7,2)</f>
        <v>0.0</v>
      </c>
      <c r="J114" s="4">
        <f>ROUND('Group Inputs'!ES8,2)</f>
        <v>0.0</v>
      </c>
      <c r="K114" s="4">
        <f>ROUND('Group Inputs'!ES9,2)</f>
        <v>0.0</v>
      </c>
      <c r="L114" s="3" t="s">
        <v>563</v>
      </c>
      <c r="M114" s="3" t="s">
        <v>951</v>
      </c>
      <c r="N114" s="3" t="s">
        <v>334</v>
      </c>
    </row>
    <row r="115" spans="1:14">
      <c r="A115" s="2" t="s">
        <v>955</v>
      </c>
      <c r="B115" s="3" t="s">
        <v>956</v>
      </c>
      <c r="C115" s="3" t="s">
        <v>539</v>
      </c>
      <c r="D115" s="3" t="s">
        <v>640</v>
      </c>
      <c r="E115" s="3" t="s">
        <v>956</v>
      </c>
      <c r="F115" s="4">
        <f>ROUND('Group Inputs'!ET4,2)</f>
        <v>1.0</v>
      </c>
      <c r="G115" s="4">
        <f>ROUND('Group Inputs'!ET5,2)</f>
        <v>1.0</v>
      </c>
      <c r="H115" s="4">
        <f>ROUND('Group Inputs'!ET6,2)</f>
        <v>1.0</v>
      </c>
      <c r="I115" s="4">
        <f>ROUND('Group Inputs'!ET7,2)</f>
        <v>1.0</v>
      </c>
      <c r="J115" s="4">
        <f>ROUND('Group Inputs'!ET8,2)</f>
        <v>1.0</v>
      </c>
      <c r="K115" s="4">
        <f>ROUND('Group Inputs'!ET9,2)</f>
        <v>1.0</v>
      </c>
      <c r="L115" s="3" t="s">
        <v>795</v>
      </c>
      <c r="M115" s="3" t="s">
        <v>951</v>
      </c>
      <c r="N115" s="3" t="s">
        <v>336</v>
      </c>
    </row>
    <row r="116" spans="1:14">
      <c r="A116" s="2" t="s">
        <v>957</v>
      </c>
      <c r="B116" s="3" t="s">
        <v>958</v>
      </c>
      <c r="C116" s="3" t="s">
        <v>539</v>
      </c>
      <c r="D116" s="3" t="s">
        <v>640</v>
      </c>
      <c r="E116" s="3" t="s">
        <v>958</v>
      </c>
      <c r="F116" s="4">
        <f>ROUND('Group Inputs'!EU4,2)</f>
        <v>8.0</v>
      </c>
      <c r="G116" s="4">
        <f>ROUND('Group Inputs'!EU5,2)</f>
        <v>8.0</v>
      </c>
      <c r="H116" s="4">
        <f>ROUND('Group Inputs'!EU6,2)</f>
        <v>8.0</v>
      </c>
      <c r="I116" s="4">
        <f>ROUND('Group Inputs'!EU7,2)</f>
        <v>7.0</v>
      </c>
      <c r="J116" s="4">
        <f>ROUND('Group Inputs'!EU8,2)</f>
        <v>8.0</v>
      </c>
      <c r="K116" s="4">
        <f>ROUND('Group Inputs'!EU9,2)</f>
        <v>7.0</v>
      </c>
      <c r="L116" s="3" t="s">
        <v>959</v>
      </c>
      <c r="M116" s="3" t="s">
        <v>960</v>
      </c>
      <c r="N116" s="3" t="s">
        <v>338</v>
      </c>
    </row>
    <row r="117" spans="1:14">
      <c r="A117" s="2" t="s">
        <v>961</v>
      </c>
      <c r="B117" s="3" t="s">
        <v>962</v>
      </c>
      <c r="C117" s="3" t="s">
        <v>539</v>
      </c>
      <c r="D117" s="3" t="s">
        <v>640</v>
      </c>
      <c r="E117" s="3" t="s">
        <v>962</v>
      </c>
      <c r="F117" s="4">
        <f>ROUND('Group Inputs'!EV4,2)</f>
        <v>0.0</v>
      </c>
      <c r="G117" s="4">
        <f>ROUND('Group Inputs'!EV5,2)</f>
        <v>0.0</v>
      </c>
      <c r="H117" s="4">
        <f>ROUND('Group Inputs'!EV6,2)</f>
        <v>0.0</v>
      </c>
      <c r="I117" s="4">
        <f>ROUND('Group Inputs'!EV7,2)</f>
        <v>0.0</v>
      </c>
      <c r="J117" s="4">
        <f>ROUND('Group Inputs'!EV8,2)</f>
        <v>0.0</v>
      </c>
      <c r="K117" s="4">
        <f>ROUND('Group Inputs'!EV9,2)</f>
        <v>0.0</v>
      </c>
      <c r="L117" s="3" t="s">
        <v>563</v>
      </c>
      <c r="M117" s="3" t="s">
        <v>951</v>
      </c>
      <c r="N117" s="3" t="s">
        <v>340</v>
      </c>
    </row>
    <row r="118" spans="1:14">
      <c r="A118" s="2" t="s">
        <v>963</v>
      </c>
      <c r="B118" s="3" t="s">
        <v>964</v>
      </c>
      <c r="C118" s="3" t="s">
        <v>539</v>
      </c>
      <c r="D118" s="3" t="s">
        <v>640</v>
      </c>
      <c r="E118" s="3" t="s">
        <v>965</v>
      </c>
      <c r="F118" s="4">
        <f>ROUND('Group Inputs'!EW4,2)</f>
        <v>1.0</v>
      </c>
      <c r="G118" s="4">
        <f>ROUND('Group Inputs'!EW5,2)</f>
        <v>1.0</v>
      </c>
      <c r="H118" s="4">
        <f>ROUND('Group Inputs'!EW6,2)</f>
        <v>1.0</v>
      </c>
      <c r="I118" s="4">
        <f>ROUND('Group Inputs'!EW7,2)</f>
        <v>1.0</v>
      </c>
      <c r="J118" s="4">
        <f>ROUND('Group Inputs'!EW8,2)</f>
        <v>1.0</v>
      </c>
      <c r="K118" s="4">
        <f>ROUND('Group Inputs'!EW9,2)</f>
        <v>1.0</v>
      </c>
      <c r="L118" s="3" t="s">
        <v>795</v>
      </c>
      <c r="M118" s="3" t="s">
        <v>951</v>
      </c>
      <c r="N118" s="3" t="s">
        <v>342</v>
      </c>
    </row>
    <row r="119" spans="1:14">
      <c r="A119" s="2" t="s">
        <v>966</v>
      </c>
      <c r="B119" s="3" t="s">
        <v>967</v>
      </c>
      <c r="C119" s="3" t="s">
        <v>539</v>
      </c>
      <c r="D119" s="3" t="s">
        <v>640</v>
      </c>
      <c r="E119" s="3" t="s">
        <v>968</v>
      </c>
      <c r="F119" s="4">
        <f>ROUND('Group Inputs'!EX4,2)</f>
        <v>1.0</v>
      </c>
      <c r="G119" s="4">
        <f>ROUND('Group Inputs'!EX5,2)</f>
        <v>1.0</v>
      </c>
      <c r="H119" s="4">
        <f>ROUND('Group Inputs'!EX6,2)</f>
        <v>1.0</v>
      </c>
      <c r="I119" s="4">
        <f>ROUND('Group Inputs'!EX7,2)</f>
        <v>1.0</v>
      </c>
      <c r="J119" s="4">
        <f>ROUND('Group Inputs'!EX8,2)</f>
        <v>1.0</v>
      </c>
      <c r="K119" s="4">
        <f>ROUND('Group Inputs'!EX9,2)</f>
        <v>1.0</v>
      </c>
      <c r="L119" s="3" t="s">
        <v>795</v>
      </c>
      <c r="M119" s="3" t="s">
        <v>969</v>
      </c>
      <c r="N119" s="3" t="s">
        <v>344</v>
      </c>
    </row>
    <row r="120" spans="1:14">
      <c r="A120" s="2" t="s">
        <v>970</v>
      </c>
      <c r="B120" s="3" t="s">
        <v>971</v>
      </c>
      <c r="C120" s="3" t="s">
        <v>539</v>
      </c>
      <c r="D120" s="3" t="s">
        <v>640</v>
      </c>
      <c r="E120" s="3" t="s">
        <v>971</v>
      </c>
      <c r="F120" s="4">
        <f>ROUND('Group Inputs'!FG4,2)</f>
        <v>1.0</v>
      </c>
      <c r="G120" s="4">
        <f>ROUND('Group Inputs'!FG5,2)</f>
        <v>1.0</v>
      </c>
      <c r="H120" s="4">
        <f>ROUND('Group Inputs'!FG6,2)</f>
        <v>1.0</v>
      </c>
      <c r="I120" s="4">
        <f>ROUND('Group Inputs'!FG7,2)</f>
        <v>1.0</v>
      </c>
      <c r="J120" s="4">
        <f>ROUND('Group Inputs'!FG8,2)</f>
        <v>1.0</v>
      </c>
      <c r="K120" s="4">
        <f>ROUND('Group Inputs'!FG9,2)</f>
        <v>1.0</v>
      </c>
      <c r="L120" s="3" t="s">
        <v>795</v>
      </c>
      <c r="M120" s="3" t="s">
        <v>951</v>
      </c>
      <c r="N120" s="3" t="s">
        <v>362</v>
      </c>
    </row>
    <row r="121" spans="1:14">
      <c r="A121" s="2" t="s">
        <v>972</v>
      </c>
      <c r="B121" s="3" t="s">
        <v>973</v>
      </c>
      <c r="C121" s="3" t="s">
        <v>539</v>
      </c>
      <c r="D121" s="3" t="s">
        <v>640</v>
      </c>
      <c r="E121" s="3" t="s">
        <v>974</v>
      </c>
      <c r="F121" s="4">
        <f>ROUND('Group Inputs'!FF4,2)</f>
        <v>1.0</v>
      </c>
      <c r="G121" s="4">
        <f>ROUND('Group Inputs'!FF5,2)</f>
        <v>1.0</v>
      </c>
      <c r="H121" s="4">
        <f>ROUND('Group Inputs'!FF6,2)</f>
        <v>1.0</v>
      </c>
      <c r="I121" s="4">
        <f>ROUND('Group Inputs'!FF7,2)</f>
        <v>1.0</v>
      </c>
      <c r="J121" s="4">
        <f>ROUND('Group Inputs'!FF8,2)</f>
        <v>2.0</v>
      </c>
      <c r="K121" s="4">
        <f>ROUND('Group Inputs'!FF9,2)</f>
        <v>2.0</v>
      </c>
      <c r="L121" s="3" t="s">
        <v>882</v>
      </c>
      <c r="M121" s="3" t="s">
        <v>951</v>
      </c>
      <c r="N121" s="3" t="s">
        <v>360</v>
      </c>
    </row>
    <row r="122" spans="1:14">
      <c r="A122" s="2" t="s">
        <v>975</v>
      </c>
      <c r="B122" s="3" t="s">
        <v>976</v>
      </c>
      <c r="C122" s="3" t="s">
        <v>539</v>
      </c>
      <c r="D122" s="3" t="s">
        <v>640</v>
      </c>
      <c r="E122" s="3" t="s">
        <v>976</v>
      </c>
      <c r="F122" s="4">
        <f>ROUND('Group Inputs'!FH4,2)</f>
        <v>0.0</v>
      </c>
      <c r="G122" s="4">
        <f>ROUND('Group Inputs'!FH5,2)</f>
        <v>0.0</v>
      </c>
      <c r="H122" s="4">
        <f>ROUND('Group Inputs'!FH6,2)</f>
        <v>0.0</v>
      </c>
      <c r="I122" s="4">
        <f>ROUND('Group Inputs'!FH7,2)</f>
        <v>0.0</v>
      </c>
      <c r="J122" s="4">
        <f>ROUND('Group Inputs'!FH8,2)</f>
        <v>1.0</v>
      </c>
      <c r="K122" s="4">
        <f>ROUND('Group Inputs'!FH9,2)</f>
        <v>1.0</v>
      </c>
      <c r="L122" s="3" t="s">
        <v>795</v>
      </c>
      <c r="M122" s="3" t="s">
        <v>969</v>
      </c>
      <c r="N122" s="3" t="s">
        <v>364</v>
      </c>
    </row>
    <row r="123" spans="1:14">
      <c r="A123" s="2" t="s">
        <v>977</v>
      </c>
      <c r="B123" s="3" t="s">
        <v>978</v>
      </c>
      <c r="C123" s="3" t="s">
        <v>447</v>
      </c>
      <c r="D123" s="3" t="s">
        <v>640</v>
      </c>
      <c r="E123" s="3" t="s">
        <v>979</v>
      </c>
      <c r="F123" s="4">
        <f>ROUND(IF('Group Inputs'!EY4=0,0,100*'Group Inputs'!EZ4/'Group Inputs'!EY4),2)</f>
        <v>87.96</v>
      </c>
      <c r="G123" s="4">
        <f>ROUND(IF('Group Inputs'!EY5=0,0,100*'Group Inputs'!EZ5/'Group Inputs'!EY5),2)</f>
        <v>87.96</v>
      </c>
      <c r="H123" s="4">
        <f>ROUND(IF('Group Inputs'!EY6=0,0,100*'Group Inputs'!EZ6/'Group Inputs'!EY6),2)</f>
        <v>87.96</v>
      </c>
      <c r="I123" s="4">
        <f>ROUND(IF('Group Inputs'!EY7=0,0,100*'Group Inputs'!EZ7/'Group Inputs'!EY7),2)</f>
        <v>88.89</v>
      </c>
      <c r="J123" s="4">
        <f>ROUND(IF('Group Inputs'!EY8=0,0,100*'Group Inputs'!EZ8/'Group Inputs'!EY8),2)</f>
        <v>87.96</v>
      </c>
      <c r="K123" s="4">
        <f>ROUND(IF('Group Inputs'!EY9=0,0,100*'Group Inputs'!EZ9/'Group Inputs'!EY9),2)</f>
        <v>87.96</v>
      </c>
      <c r="L123" s="3" t="s">
        <v>980</v>
      </c>
      <c r="M123" s="3" t="s">
        <v>951</v>
      </c>
      <c r="N123" s="3" t="s">
        <v>981</v>
      </c>
    </row>
    <row r="124" spans="1:14">
      <c r="A124" s="2" t="s">
        <v>982</v>
      </c>
      <c r="B124" s="3" t="s">
        <v>983</v>
      </c>
      <c r="C124" s="3" t="s">
        <v>185</v>
      </c>
      <c r="D124" s="3" t="s">
        <v>615</v>
      </c>
      <c r="E124" s="3" t="s">
        <v>984</v>
      </c>
      <c r="F124" s="4">
        <f>ROUND(IF(SUM('Group Inputs'!FA$4:FA4)=0,0,SUM('Group Inputs'!FB$4:FB4)/SUM('Group Inputs'!FA$4:FA4)),2)</f>
        <v>33.2</v>
      </c>
      <c r="G124" s="4">
        <f>ROUND(IF(SUM('Group Inputs'!FA$4:FA5)=0,0,SUM('Group Inputs'!FB$4:FB5)/SUM('Group Inputs'!FA$4:FA5)),2)</f>
        <v>32.0</v>
      </c>
      <c r="H124" s="4">
        <f>ROUND(IF(SUM('Group Inputs'!FA$4:FA6)=0,0,SUM('Group Inputs'!FB$4:FB6)/SUM('Group Inputs'!FA$4:FA6)),2)</f>
        <v>33.31</v>
      </c>
      <c r="I124" s="4">
        <f>ROUND(IF(SUM('Group Inputs'!FA$4:FA7)=0,0,SUM('Group Inputs'!FB$4:FB7)/SUM('Group Inputs'!FA$4:FA7)),2)</f>
        <v>32.41</v>
      </c>
      <c r="J124" s="4">
        <f>ROUND(IF(SUM('Group Inputs'!FA$4:FA8)=0,0,SUM('Group Inputs'!FB$4:FB8)/SUM('Group Inputs'!FA$4:FA8)),2)</f>
        <v>32.71</v>
      </c>
      <c r="K124" s="4">
        <f>ROUND(IF(SUM('Group Inputs'!FA$4:FA9)=0,0,SUM('Group Inputs'!FB$4:FB9)/SUM('Group Inputs'!FA$4:FA9)),2)</f>
        <v>32.81</v>
      </c>
      <c r="L124" s="3" t="s">
        <v>985</v>
      </c>
      <c r="M124" s="3" t="s">
        <v>951</v>
      </c>
      <c r="N124" s="3" t="s">
        <v>986</v>
      </c>
    </row>
    <row r="125" spans="1:14">
      <c r="A125" s="2" t="s">
        <v>987</v>
      </c>
      <c r="B125" s="3" t="s">
        <v>988</v>
      </c>
      <c r="C125" s="3" t="s">
        <v>447</v>
      </c>
      <c r="D125" s="3" t="s">
        <v>640</v>
      </c>
      <c r="E125" s="3" t="s">
        <v>989</v>
      </c>
      <c r="F125" s="4">
        <f>ROUND(IF('Group Inputs'!FC4=0,0,100*'Group Inputs'!FD4/'Group Inputs'!FC4),2)</f>
        <v>83.93</v>
      </c>
      <c r="G125" s="4">
        <f>ROUND(IF('Group Inputs'!FC5=0,0,100*'Group Inputs'!FD5/'Group Inputs'!FC5),2)</f>
        <v>83.93</v>
      </c>
      <c r="H125" s="4">
        <f>ROUND(IF('Group Inputs'!FC6=0,0,100*'Group Inputs'!FD6/'Group Inputs'!FC6),2)</f>
        <v>83.93</v>
      </c>
      <c r="I125" s="4">
        <f>ROUND(IF('Group Inputs'!FC7=0,0,100*'Group Inputs'!FD7/'Group Inputs'!FC7),2)</f>
        <v>83.93</v>
      </c>
      <c r="J125" s="4">
        <f>ROUND(IF('Group Inputs'!FC8=0,0,100*'Group Inputs'!FD8/'Group Inputs'!FC8),2)</f>
        <v>83.93</v>
      </c>
      <c r="K125" s="4">
        <f>ROUND(IF('Group Inputs'!FC9=0,0,100*'Group Inputs'!FD9/'Group Inputs'!FC9),2)</f>
        <v>83.93</v>
      </c>
      <c r="L125" s="3" t="s">
        <v>990</v>
      </c>
      <c r="M125" s="3" t="s">
        <v>991</v>
      </c>
      <c r="N125" s="3" t="s">
        <v>992</v>
      </c>
    </row>
    <row r="126" spans="1:14">
      <c r="A126" s="2" t="s">
        <v>993</v>
      </c>
      <c r="B126" s="3" t="s">
        <v>994</v>
      </c>
      <c r="C126" s="3" t="s">
        <v>539</v>
      </c>
      <c r="D126" s="3" t="s">
        <v>640</v>
      </c>
      <c r="E126" s="3" t="s">
        <v>995</v>
      </c>
      <c r="F126" s="4">
        <f>ROUND('Group Inputs'!FC4-'Group Inputs'!FD4,2)</f>
        <v>9.0</v>
      </c>
      <c r="G126" s="4">
        <f>ROUND('Group Inputs'!FC5-'Group Inputs'!FD5,2)</f>
        <v>9.0</v>
      </c>
      <c r="H126" s="4">
        <f>ROUND('Group Inputs'!FC6-'Group Inputs'!FD6,2)</f>
        <v>9.0</v>
      </c>
      <c r="I126" s="4">
        <f>ROUND('Group Inputs'!FC7-'Group Inputs'!FD7,2)</f>
        <v>9.0</v>
      </c>
      <c r="J126" s="4">
        <f>ROUND('Group Inputs'!FC8-'Group Inputs'!FD8,2)</f>
        <v>9.0</v>
      </c>
      <c r="K126" s="4">
        <f>ROUND('Group Inputs'!FC9-'Group Inputs'!FD9,2)</f>
        <v>9.0</v>
      </c>
      <c r="L126" s="3" t="s">
        <v>575</v>
      </c>
      <c r="M126" s="3" t="s">
        <v>969</v>
      </c>
      <c r="N126" s="3" t="s">
        <v>992</v>
      </c>
    </row>
    <row r="127" spans="1:14">
      <c r="A127" s="2" t="s">
        <v>996</v>
      </c>
      <c r="B127" s="3" t="s">
        <v>997</v>
      </c>
      <c r="C127" s="3" t="s">
        <v>447</v>
      </c>
      <c r="D127" s="3" t="s">
        <v>640</v>
      </c>
      <c r="E127" s="3" t="s">
        <v>998</v>
      </c>
      <c r="F127" s="4">
        <f>ROUND(IF('Group Inputs'!FC4=0,0,100*'Group Inputs'!FE4/'Group Inputs'!FC4),2)</f>
        <v>92.86</v>
      </c>
      <c r="G127" s="4">
        <f>ROUND(IF('Group Inputs'!FC5=0,0,100*'Group Inputs'!FE5/'Group Inputs'!FC5),2)</f>
        <v>92.86</v>
      </c>
      <c r="H127" s="4">
        <f>ROUND(IF('Group Inputs'!FC6=0,0,100*'Group Inputs'!FE6/'Group Inputs'!FC6),2)</f>
        <v>92.86</v>
      </c>
      <c r="I127" s="4">
        <f>ROUND(IF('Group Inputs'!FC7=0,0,100*'Group Inputs'!FE7/'Group Inputs'!FC7),2)</f>
        <v>92.86</v>
      </c>
      <c r="J127" s="4">
        <f>ROUND(IF('Group Inputs'!FC8=0,0,100*'Group Inputs'!FE8/'Group Inputs'!FC8),2)</f>
        <v>92.86</v>
      </c>
      <c r="K127" s="4">
        <f>ROUND(IF('Group Inputs'!FC9=0,0,100*'Group Inputs'!FE9/'Group Inputs'!FC9),2)</f>
        <v>92.86</v>
      </c>
      <c r="L127" s="3" t="s">
        <v>999</v>
      </c>
      <c r="M127" s="3" t="s">
        <v>969</v>
      </c>
      <c r="N127" s="3" t="s">
        <v>1000</v>
      </c>
    </row>
    <row r="128" spans="1:14">
      <c r="A128" s="2" t="s">
        <v>1001</v>
      </c>
      <c r="B128" s="3" t="s">
        <v>1002</v>
      </c>
      <c r="C128" s="3" t="s">
        <v>447</v>
      </c>
      <c r="D128" s="3" t="s">
        <v>21</v>
      </c>
      <c r="E128" s="3" t="s">
        <v>1003</v>
      </c>
      <c r="F128" s="4">
        <f>ROUND(IF('Group Inputs'!FI4=0,0,100*'Group Inputs'!FJ4/'Group Inputs'!FI4),2)</f>
        <v>99.45</v>
      </c>
      <c r="G128" s="4">
        <f>ROUND(IF('Group Inputs'!FI5=0,0,100*'Group Inputs'!FJ5/'Group Inputs'!FI5),2)</f>
        <v>99.42</v>
      </c>
      <c r="H128" s="4">
        <f>ROUND(IF('Group Inputs'!FI6=0,0,100*'Group Inputs'!FJ6/'Group Inputs'!FI6),2)</f>
        <v>99.23</v>
      </c>
      <c r="I128" s="4">
        <f>ROUND(IF('Group Inputs'!FI7=0,0,100*'Group Inputs'!FJ7/'Group Inputs'!FI7),2)</f>
        <v>98.97</v>
      </c>
      <c r="J128" s="4">
        <f>ROUND(IF('Group Inputs'!FI8=0,0,100*'Group Inputs'!FJ8/'Group Inputs'!FI8),2)</f>
        <v>99.33</v>
      </c>
      <c r="K128" s="4">
        <f>ROUND(IF('Group Inputs'!FI9=0,0,100*'Group Inputs'!FJ9/'Group Inputs'!FI9),2)</f>
        <v>99.02</v>
      </c>
      <c r="L128" s="3" t="s">
        <v>1004</v>
      </c>
      <c r="M128" s="3" t="s">
        <v>951</v>
      </c>
      <c r="N128" s="3" t="s">
        <v>1005</v>
      </c>
    </row>
    <row r="129" spans="1:14">
      <c r="A129" s="2" t="s">
        <v>1006</v>
      </c>
      <c r="B129" s="3" t="s">
        <v>1007</v>
      </c>
      <c r="C129" s="3" t="s">
        <v>447</v>
      </c>
      <c r="D129" s="3" t="s">
        <v>21</v>
      </c>
      <c r="E129" s="3" t="s">
        <v>1008</v>
      </c>
      <c r="F129" s="4">
        <f>ROUND(IF('Group Inputs'!FK4=0,0,100*'Group Inputs'!FL4/'Group Inputs'!FK4),2)</f>
        <v>96.83</v>
      </c>
      <c r="G129" s="4">
        <f>ROUND(IF('Group Inputs'!FK5=0,0,100*'Group Inputs'!FL5/'Group Inputs'!FK5),2)</f>
        <v>96.34</v>
      </c>
      <c r="H129" s="4">
        <f>ROUND(IF('Group Inputs'!FK6=0,0,100*'Group Inputs'!FL6/'Group Inputs'!FK6),2)</f>
        <v>96.46</v>
      </c>
      <c r="I129" s="4">
        <f>ROUND(IF('Group Inputs'!FK7=0,0,100*'Group Inputs'!FL7/'Group Inputs'!FK7),2)</f>
        <v>96.95</v>
      </c>
      <c r="J129" s="4">
        <f>ROUND(IF('Group Inputs'!FK8=0,0,100*'Group Inputs'!FL8/'Group Inputs'!FK8),2)</f>
        <v>96.83</v>
      </c>
      <c r="K129" s="4">
        <f>ROUND(IF('Group Inputs'!FK9=0,0,100*'Group Inputs'!FL9/'Group Inputs'!FK9),2)</f>
        <v>95.98</v>
      </c>
      <c r="L129" s="3" t="s">
        <v>1009</v>
      </c>
      <c r="M129" s="3" t="s">
        <v>951</v>
      </c>
      <c r="N129" s="3" t="s">
        <v>1010</v>
      </c>
    </row>
    <row r="130" spans="1:14">
      <c r="A130" s="2" t="s">
        <v>1011</v>
      </c>
      <c r="B130" s="3" t="s">
        <v>1012</v>
      </c>
      <c r="C130" s="3" t="s">
        <v>447</v>
      </c>
      <c r="D130" s="3" t="s">
        <v>21</v>
      </c>
      <c r="E130" s="3" t="s">
        <v>1013</v>
      </c>
      <c r="F130" s="4">
        <f>ROUND(IF('Group Inputs'!AU4=0,0,100*ABS('Group Inputs'!CI4-'Group Inputs'!AU4)/'Group Inputs'!AU4),2)</f>
        <v>0.92</v>
      </c>
      <c r="G130" s="4">
        <f>ROUND(IF('Group Inputs'!AU5=0,0,100*ABS('Group Inputs'!CI5-'Group Inputs'!AU5)/'Group Inputs'!AU5),2)</f>
        <v>0.32</v>
      </c>
      <c r="H130" s="4">
        <f>ROUND(IF('Group Inputs'!AU6=0,0,100*ABS('Group Inputs'!CI6-'Group Inputs'!AU6)/'Group Inputs'!AU6),2)</f>
        <v>0.44</v>
      </c>
      <c r="I130" s="4">
        <f>ROUND(IF('Group Inputs'!AU7=0,0,100*ABS('Group Inputs'!CI7-'Group Inputs'!AU7)/'Group Inputs'!AU7),2)</f>
        <v>0.1</v>
      </c>
      <c r="J130" s="4">
        <f>ROUND(IF('Group Inputs'!AU8=0,0,100*ABS('Group Inputs'!CI8-'Group Inputs'!AU8)/'Group Inputs'!AU8),2)</f>
        <v>0.24</v>
      </c>
      <c r="K130" s="4">
        <f>ROUND(IF('Group Inputs'!AU9=0,0,100*ABS('Group Inputs'!CI9-'Group Inputs'!AU9)/'Group Inputs'!AU9),2)</f>
        <v>0.38</v>
      </c>
      <c r="L130" s="3" t="s">
        <v>1014</v>
      </c>
      <c r="M130" s="3" t="s">
        <v>951</v>
      </c>
      <c r="N130" s="3" t="s">
        <v>1015</v>
      </c>
    </row>
    <row r="131" spans="1:14">
      <c r="A131" s="2" t="s">
        <v>1016</v>
      </c>
      <c r="B131" s="3" t="s">
        <v>1017</v>
      </c>
      <c r="C131" s="3" t="s">
        <v>447</v>
      </c>
      <c r="D131" s="3" t="s">
        <v>21</v>
      </c>
      <c r="E131" s="3" t="s">
        <v>1018</v>
      </c>
      <c r="F131" s="4">
        <f>ROUND(IF('Group Inputs'!FV4=0,0,100*('Group Inputs'!CH4-'Group Inputs'!FV4)/'Group Inputs'!FV4),2)</f>
        <v>0.09</v>
      </c>
      <c r="G131" s="4">
        <f>ROUND(IF('Group Inputs'!FV5=0,0,100*('Group Inputs'!CH5-'Group Inputs'!FV5)/'Group Inputs'!FV5),2)</f>
        <v>-0.13</v>
      </c>
      <c r="H131" s="4">
        <f>ROUND(IF('Group Inputs'!FV6=0,0,100*('Group Inputs'!CH6-'Group Inputs'!FV6)/'Group Inputs'!FV6),2)</f>
        <v>-0.2</v>
      </c>
      <c r="I131" s="4">
        <f>ROUND(IF('Group Inputs'!FV7=0,0,100*('Group Inputs'!CH7-'Group Inputs'!FV7)/'Group Inputs'!FV7),2)</f>
        <v>-0.03</v>
      </c>
      <c r="J131" s="4">
        <f>ROUND(IF('Group Inputs'!FV8=0,0,100*('Group Inputs'!CH8-'Group Inputs'!FV8)/'Group Inputs'!FV8),2)</f>
        <v>0.0</v>
      </c>
      <c r="K131" s="4">
        <f>ROUND(IF('Group Inputs'!FV9=0,0,100*('Group Inputs'!CH9-'Group Inputs'!FV9)/'Group Inputs'!FV9),2)</f>
        <v>-0.22</v>
      </c>
      <c r="L131" s="3" t="s">
        <v>1019</v>
      </c>
      <c r="M131" s="3" t="s">
        <v>969</v>
      </c>
      <c r="N131" s="3" t="s">
        <v>1020</v>
      </c>
    </row>
    <row r="132" spans="1:14">
      <c r="A132" s="2" t="s">
        <v>1021</v>
      </c>
      <c r="B132" s="3" t="s">
        <v>1022</v>
      </c>
      <c r="C132" s="3" t="s">
        <v>447</v>
      </c>
      <c r="D132" s="3" t="s">
        <v>21</v>
      </c>
      <c r="E132" s="3" t="s">
        <v>1023</v>
      </c>
      <c r="F132" s="4">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0.29</v>
      </c>
      <c r="G132" s="4">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0.21</v>
      </c>
      <c r="H132" s="4">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0.28</v>
      </c>
      <c r="I132" s="4">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0.2</v>
      </c>
      <c r="J132" s="4">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0.23</v>
      </c>
      <c r="K132" s="4">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0.27</v>
      </c>
      <c r="L132" s="3" t="s">
        <v>1024</v>
      </c>
      <c r="M132" s="3" t="s">
        <v>951</v>
      </c>
      <c r="N132" s="3" t="s">
        <v>1025</v>
      </c>
    </row>
    <row r="133" spans="1:14">
      <c r="A133" s="2" t="s">
        <v>1026</v>
      </c>
      <c r="B133" s="3" t="s">
        <v>1027</v>
      </c>
      <c r="C133" s="3" t="s">
        <v>539</v>
      </c>
      <c r="D133" s="3" t="s">
        <v>640</v>
      </c>
      <c r="E133" s="3" t="s">
        <v>1027</v>
      </c>
      <c r="F133" s="4">
        <f>ROUND('Group Inputs'!FM4,2)</f>
        <v>0.0</v>
      </c>
      <c r="G133" s="4">
        <f>ROUND('Group Inputs'!FM5,2)</f>
        <v>0.0</v>
      </c>
      <c r="H133" s="4">
        <f>ROUND('Group Inputs'!FM6,2)</f>
        <v>0.0</v>
      </c>
      <c r="I133" s="4">
        <f>ROUND('Group Inputs'!FM7,2)</f>
        <v>0.0</v>
      </c>
      <c r="J133" s="4">
        <f>ROUND('Group Inputs'!FM8,2)</f>
        <v>1.0</v>
      </c>
      <c r="K133" s="4">
        <f>ROUND('Group Inputs'!FM9,2)</f>
        <v>1.0</v>
      </c>
      <c r="L133" s="3" t="s">
        <v>795</v>
      </c>
      <c r="M133" s="3" t="s">
        <v>1028</v>
      </c>
      <c r="N133" s="3" t="s">
        <v>374</v>
      </c>
    </row>
    <row r="134" spans="1:14">
      <c r="A134" s="2" t="s">
        <v>1029</v>
      </c>
      <c r="B134" s="3" t="s">
        <v>1030</v>
      </c>
      <c r="C134" s="3" t="s">
        <v>539</v>
      </c>
      <c r="D134" s="3" t="s">
        <v>640</v>
      </c>
      <c r="E134" s="3" t="s">
        <v>1031</v>
      </c>
      <c r="F134" s="4">
        <f>ROUND('Group Inputs'!FN4,2)</f>
        <v>0.0</v>
      </c>
      <c r="G134" s="4">
        <f>ROUND('Group Inputs'!FN5,2)</f>
        <v>0.0</v>
      </c>
      <c r="H134" s="4">
        <f>ROUND('Group Inputs'!FN6,2)</f>
        <v>0.0</v>
      </c>
      <c r="I134" s="4">
        <f>ROUND('Group Inputs'!FN7,2)</f>
        <v>0.0</v>
      </c>
      <c r="J134" s="4">
        <f>ROUND('Group Inputs'!FN8,2)</f>
        <v>0.0</v>
      </c>
      <c r="K134" s="4">
        <f>ROUND('Group Inputs'!FN9,2)</f>
        <v>1.0</v>
      </c>
      <c r="L134" s="3" t="s">
        <v>795</v>
      </c>
      <c r="M134" s="3" t="s">
        <v>1032</v>
      </c>
      <c r="N134" s="3" t="s">
        <v>376</v>
      </c>
    </row>
    <row r="135" spans="1:14">
      <c r="A135" s="2" t="s">
        <v>1033</v>
      </c>
      <c r="B135" s="3" t="s">
        <v>1034</v>
      </c>
      <c r="C135" s="3" t="s">
        <v>539</v>
      </c>
      <c r="D135" s="3" t="s">
        <v>640</v>
      </c>
      <c r="E135" s="3" t="s">
        <v>1034</v>
      </c>
      <c r="F135" s="4">
        <f>ROUND('Group Inputs'!FO4,2)</f>
        <v>0.0</v>
      </c>
      <c r="G135" s="4">
        <f>ROUND('Group Inputs'!FO5,2)</f>
        <v>0.0</v>
      </c>
      <c r="H135" s="4">
        <f>ROUND('Group Inputs'!FO6,2)</f>
        <v>0.0</v>
      </c>
      <c r="I135" s="4">
        <f>ROUND('Group Inputs'!FO7,2)</f>
        <v>0.0</v>
      </c>
      <c r="J135" s="4">
        <f>ROUND('Group Inputs'!FO8,2)</f>
        <v>0.0</v>
      </c>
      <c r="K135" s="4">
        <f>ROUND('Group Inputs'!FO9,2)</f>
        <v>0.0</v>
      </c>
      <c r="L135" s="3" t="s">
        <v>563</v>
      </c>
      <c r="M135" s="3" t="s">
        <v>1035</v>
      </c>
      <c r="N135" s="3" t="s">
        <v>378</v>
      </c>
    </row>
    <row r="136" spans="1:14">
      <c r="A136" s="2" t="s">
        <v>1036</v>
      </c>
      <c r="B136" s="3" t="s">
        <v>1037</v>
      </c>
      <c r="C136" s="3" t="s">
        <v>185</v>
      </c>
      <c r="D136" s="3" t="s">
        <v>21</v>
      </c>
      <c r="E136" s="3" t="s">
        <v>1038</v>
      </c>
      <c r="F136" s="4">
        <f>ROUND(IF('Group Inputs'!FP4=0,0,'Group Inputs'!FQ4/'Group Inputs'!FP4),2)</f>
        <v>2.56</v>
      </c>
      <c r="G136" s="4">
        <f>ROUND(IF('Group Inputs'!FP5=0,0,'Group Inputs'!FQ5/'Group Inputs'!FP5),2)</f>
        <v>2.41</v>
      </c>
      <c r="H136" s="4">
        <f>ROUND(IF('Group Inputs'!FP6=0,0,'Group Inputs'!FQ6/'Group Inputs'!FP6),2)</f>
        <v>2.44</v>
      </c>
      <c r="I136" s="4">
        <f>ROUND(IF('Group Inputs'!FP7=0,0,'Group Inputs'!FQ7/'Group Inputs'!FP7),2)</f>
        <v>2.56</v>
      </c>
      <c r="J136" s="4">
        <f>ROUND(IF('Group Inputs'!FP8=0,0,'Group Inputs'!FQ8/'Group Inputs'!FP8),2)</f>
        <v>2.46</v>
      </c>
      <c r="K136" s="4">
        <f>ROUND(IF('Group Inputs'!FP9=0,0,'Group Inputs'!FQ9/'Group Inputs'!FP9),2)</f>
        <v>2.45</v>
      </c>
      <c r="L136" s="3" t="s">
        <v>1039</v>
      </c>
      <c r="M136" s="3" t="s">
        <v>1040</v>
      </c>
      <c r="N136" s="3" t="s">
        <v>1041</v>
      </c>
    </row>
    <row r="137" spans="1:14">
      <c r="A137" s="2" t="s">
        <v>1042</v>
      </c>
      <c r="B137" s="3" t="s">
        <v>1043</v>
      </c>
      <c r="C137" s="3" t="s">
        <v>539</v>
      </c>
      <c r="D137" s="3" t="s">
        <v>21</v>
      </c>
      <c r="E137" s="3" t="s">
        <v>1044</v>
      </c>
      <c r="F137" s="4">
        <f>ROUND('Group Inputs'!FR4,2)</f>
        <v>12.0</v>
      </c>
      <c r="G137" s="4">
        <f>ROUND('Group Inputs'!FR5,2)</f>
        <v>10.0</v>
      </c>
      <c r="H137" s="4">
        <f>ROUND('Group Inputs'!FR6,2)</f>
        <v>11.0</v>
      </c>
      <c r="I137" s="4">
        <f>ROUND('Group Inputs'!FR7,2)</f>
        <v>11.0</v>
      </c>
      <c r="J137" s="4">
        <f>ROUND('Group Inputs'!FR8,2)</f>
        <v>11.0</v>
      </c>
      <c r="K137" s="4">
        <f>ROUND('Group Inputs'!FR9,2)</f>
        <v>11.0</v>
      </c>
      <c r="L137" s="3" t="s">
        <v>1045</v>
      </c>
      <c r="M137" s="3" t="s">
        <v>1040</v>
      </c>
      <c r="N137" s="3" t="s">
        <v>384</v>
      </c>
    </row>
    <row r="138" spans="1:14">
      <c r="A138" s="2" t="s">
        <v>1046</v>
      </c>
      <c r="B138" s="3" t="s">
        <v>1047</v>
      </c>
      <c r="C138" s="3" t="s">
        <v>539</v>
      </c>
      <c r="D138" s="3" t="s">
        <v>1048</v>
      </c>
      <c r="E138" s="3" t="s">
        <v>1049</v>
      </c>
      <c r="F138" s="4">
        <f>ROUND(SUM('Group Inputs'!FS4:FS4),2)</f>
        <v>0.0</v>
      </c>
      <c r="G138" s="4">
        <f>ROUND(SUM('Group Inputs'!FS4:FS5),2)</f>
        <v>1.0</v>
      </c>
      <c r="H138" s="4">
        <f>ROUND(SUM('Group Inputs'!FS4:FS6),2)</f>
        <v>2.0</v>
      </c>
      <c r="I138" s="4">
        <f>ROUND(SUM('Group Inputs'!FS5:FS7),2)</f>
        <v>4.0</v>
      </c>
      <c r="J138" s="4">
        <f>ROUND(SUM('Group Inputs'!FS6:FS8),2)</f>
        <v>4.0</v>
      </c>
      <c r="K138" s="4">
        <f>ROUND(SUM('Group Inputs'!FS7:FS9),2)</f>
        <v>4.0</v>
      </c>
      <c r="L138" s="3" t="s">
        <v>882</v>
      </c>
      <c r="M138" s="3" t="s">
        <v>1040</v>
      </c>
      <c r="N138" s="3" t="s">
        <v>386</v>
      </c>
    </row>
    <row r="139" spans="1:14">
      <c r="A139" s="2" t="s">
        <v>1050</v>
      </c>
      <c r="B139" s="3" t="s">
        <v>1051</v>
      </c>
      <c r="C139" s="3" t="s">
        <v>782</v>
      </c>
      <c r="D139" s="3" t="s">
        <v>615</v>
      </c>
      <c r="E139" s="3" t="s">
        <v>1052</v>
      </c>
      <c r="F139" s="8" t="str">
        <f>SUM('Group Inputs'!FU$4:FU4)&amp;" of "&amp;SUM('Group Inputs'!FT$4:FT4)</f>
        <v>1 of 1</v>
      </c>
      <c r="G139" s="8" t="str">
        <f>SUM('Group Inputs'!FU$4:FU5)&amp;" of "&amp;SUM('Group Inputs'!FT$4:FT5)</f>
        <v>2 of 2</v>
      </c>
      <c r="H139" s="8" t="str">
        <f>SUM('Group Inputs'!FU$4:FU6)&amp;" of "&amp;SUM('Group Inputs'!FT$4:FT6)</f>
        <v>2 of 3</v>
      </c>
      <c r="I139" s="8" t="str">
        <f>SUM('Group Inputs'!FU$4:FU7)&amp;" of "&amp;SUM('Group Inputs'!FT$4:FT7)</f>
        <v>4 of 5</v>
      </c>
      <c r="J139" s="8" t="str">
        <f>SUM('Group Inputs'!FU$4:FU8)&amp;" of "&amp;SUM('Group Inputs'!FT$4:FT8)</f>
        <v>6 of 7</v>
      </c>
      <c r="K139" s="8" t="str">
        <f>SUM('Group Inputs'!FU$4:FU9)&amp;" of "&amp;SUM('Group Inputs'!FT$4:FT9)</f>
        <v>8 of 9</v>
      </c>
      <c r="L139" s="3" t="s">
        <v>1053</v>
      </c>
      <c r="M139" s="3" t="s">
        <v>1040</v>
      </c>
      <c r="N139" s="3" t="s">
        <v>1054</v>
      </c>
    </row>
    <row r="140" spans="1:14">
      <c r="A140" s="2" t="s">
        <v>1055</v>
      </c>
      <c r="B140" s="3" t="s">
        <v>1056</v>
      </c>
      <c r="C140" s="3" t="s">
        <v>185</v>
      </c>
      <c r="D140" s="3" t="s">
        <v>21</v>
      </c>
      <c r="E140" s="3" t="s">
        <v>1057</v>
      </c>
      <c r="F140" s="4">
        <f>ROUND(IF('Group Inputs'!CQ4=0,0,('Group Inputs'!CR4-'Group Inputs'!CS4)/'Group Inputs'!CQ4),2)</f>
        <v>0.16</v>
      </c>
      <c r="G140" s="4">
        <f>ROUND(IF('Group Inputs'!CQ5=0,0,('Group Inputs'!CR5-'Group Inputs'!CS5)/'Group Inputs'!CQ5),2)</f>
        <v>-0.01</v>
      </c>
      <c r="H140" s="4">
        <f>ROUND(IF('Group Inputs'!CQ6=0,0,('Group Inputs'!CR6-'Group Inputs'!CS6)/'Group Inputs'!CQ6),2)</f>
        <v>0.13</v>
      </c>
      <c r="I140" s="4">
        <f>ROUND(IF('Group Inputs'!CQ7=0,0,('Group Inputs'!CR7-'Group Inputs'!CS7)/'Group Inputs'!CQ7),2)</f>
        <v>0.03</v>
      </c>
      <c r="J140" s="4">
        <f>ROUND(IF('Group Inputs'!CQ8=0,0,('Group Inputs'!CR8-'Group Inputs'!CS8)/'Group Inputs'!CQ8),2)</f>
        <v>1.41</v>
      </c>
      <c r="K140" s="4">
        <f>ROUND(IF('Group Inputs'!CQ9=0,0,('Group Inputs'!CR9-'Group Inputs'!CS9)/'Group Inputs'!CQ9),2)</f>
        <v>1.12</v>
      </c>
      <c r="L140" s="3" t="s">
        <v>1058</v>
      </c>
      <c r="M140" s="3" t="s">
        <v>1059</v>
      </c>
      <c r="N140" s="3" t="s">
        <v>1060</v>
      </c>
    </row>
    <row r="141" spans="1:14">
      <c r="A141" s="2" t="s">
        <v>1061</v>
      </c>
      <c r="B141" s="3" t="s">
        <v>1062</v>
      </c>
      <c r="C141" s="3" t="s">
        <v>1063</v>
      </c>
      <c r="D141" s="3" t="s">
        <v>640</v>
      </c>
      <c r="E141" s="3" t="s">
        <v>1064</v>
      </c>
      <c r="F141" s="4">
        <f>ROUND('Group Inputs'!CT4,2)</f>
        <v>0.0</v>
      </c>
      <c r="G141" s="4">
        <f>ROUND('Group Inputs'!CT5,2)</f>
        <v>1.0</v>
      </c>
      <c r="H141" s="4">
        <f>ROUND('Group Inputs'!CT6,2)</f>
        <v>0.0</v>
      </c>
      <c r="I141" s="4">
        <f>ROUND('Group Inputs'!CT7,2)</f>
        <v>1.0</v>
      </c>
      <c r="J141" s="4">
        <f>ROUND('Group Inputs'!CT8,2)</f>
        <v>3.0</v>
      </c>
      <c r="K141" s="4">
        <f>ROUND('Group Inputs'!CT9,2)</f>
        <v>3.0</v>
      </c>
      <c r="L141" s="3" t="s">
        <v>1065</v>
      </c>
      <c r="M141" s="3" t="s">
        <v>1066</v>
      </c>
      <c r="N141" s="3" t="s">
        <v>232</v>
      </c>
    </row>
    <row r="142" spans="1:14">
      <c r="A142" s="2" t="s">
        <v>1067</v>
      </c>
      <c r="B142" s="3" t="s">
        <v>1068</v>
      </c>
      <c r="C142" s="3" t="s">
        <v>782</v>
      </c>
      <c r="D142" s="3" t="s">
        <v>21</v>
      </c>
      <c r="E142" s="3" t="s">
        <v>1069</v>
      </c>
      <c r="F142" s="8" t="str">
        <f>IF('Group Inputs'!FZ4&lt;0,"Triggered","Not triggered")</f>
        <v>Not triggered</v>
      </c>
      <c r="G142" s="8" t="str">
        <f>IF('Group Inputs'!FZ5&lt;0,"Triggered","Not triggered")</f>
        <v>Not triggered</v>
      </c>
      <c r="H142" s="8" t="str">
        <f>IF('Group Inputs'!FZ6&lt;0,"Triggered","Not triggered")</f>
        <v>Not triggered</v>
      </c>
      <c r="I142" s="8" t="str">
        <f>IF('Group Inputs'!FZ7&lt;0,"Triggered","Not triggered")</f>
        <v>Not triggered</v>
      </c>
      <c r="J142" s="8" t="str">
        <f>IF('Group Inputs'!FZ8&lt;0,"Triggered","Not triggered")</f>
        <v>Not triggered</v>
      </c>
      <c r="K142" s="8" t="str">
        <f>IF('Group Inputs'!FZ9&lt;0,"Triggered","Not triggered")</f>
        <v>Not triggered</v>
      </c>
      <c r="L142" s="3" t="s">
        <v>897</v>
      </c>
      <c r="M142" s="3" t="s">
        <v>742</v>
      </c>
      <c r="N142" s="3" t="s">
        <v>408</v>
      </c>
    </row>
    <row r="143" spans="1:14">
      <c r="A143" s="2" t="s">
        <v>1070</v>
      </c>
      <c r="B143" s="3" t="s">
        <v>1071</v>
      </c>
      <c r="C143" s="3" t="s">
        <v>782</v>
      </c>
      <c r="D143" s="3" t="s">
        <v>21</v>
      </c>
      <c r="E143" s="3" t="s">
        <v>1072</v>
      </c>
      <c r="F143" s="8" t="str">
        <f>IF('Group Inputs'!GG4&gt;=-1,"Low",IF('Group Inputs'!GG4&gt;=-3,"Medium","High"))&amp;" ("&amp;ROUND('Group Inputs'!GG4,1)&amp;"% vs plan price)"</f>
        <v>Low (-0.1% vs plan price)</v>
      </c>
      <c r="G143" s="8" t="str">
        <f>IF('Group Inputs'!GG5&gt;=-1,"Low",IF('Group Inputs'!GG5&gt;=-3,"Medium","High"))&amp;" ("&amp;ROUND('Group Inputs'!GG5,1)&amp;"% vs plan price)"</f>
        <v>Low (0% vs plan price)</v>
      </c>
      <c r="H143" s="8" t="str">
        <f>IF('Group Inputs'!GG6&gt;=-1,"Low",IF('Group Inputs'!GG6&gt;=-3,"Medium","High"))&amp;" ("&amp;ROUND('Group Inputs'!GG6,1)&amp;"% vs plan price)"</f>
        <v>Low (0.3% vs plan price)</v>
      </c>
      <c r="I143" s="8" t="str">
        <f>IF('Group Inputs'!GG7&gt;=-1,"Low",IF('Group Inputs'!GG7&gt;=-3,"Medium","High"))&amp;" ("&amp;ROUND('Group Inputs'!GG7,1)&amp;"% vs plan price)"</f>
        <v>Low (-0.2% vs plan price)</v>
      </c>
      <c r="J143" s="8" t="str">
        <f>IF('Group Inputs'!GG8&gt;=-1,"Low",IF('Group Inputs'!GG8&gt;=-3,"Medium","High"))&amp;" ("&amp;ROUND('Group Inputs'!GG8,1)&amp;"% vs plan price)"</f>
        <v>Low (-0.3% vs plan price)</v>
      </c>
      <c r="K143" s="8" t="str">
        <f>IF('Group Inputs'!GG9&gt;=-1,"Low",IF('Group Inputs'!GG9&gt;=-3,"Medium","High"))&amp;" ("&amp;ROUND('Group Inputs'!GG9,1)&amp;"% vs plan price)"</f>
        <v>Low (-0.4% vs plan price)</v>
      </c>
      <c r="L143" s="3" t="s">
        <v>1073</v>
      </c>
      <c r="M143" s="3" t="s">
        <v>653</v>
      </c>
      <c r="N143" s="3" t="s">
        <v>429</v>
      </c>
    </row>
    <row r="144" spans="1:14">
      <c r="A144" s="2" t="s">
        <v>1074</v>
      </c>
      <c r="B144" s="3" t="s">
        <v>1075</v>
      </c>
      <c r="C144" s="3" t="s">
        <v>185</v>
      </c>
      <c r="D144" s="3" t="s">
        <v>1076</v>
      </c>
      <c r="E144" s="3" t="s">
        <v>1077</v>
      </c>
      <c r="F144" s="4">
        <f>ROUND('Group Inputs'!BS4,2)</f>
        <v>17.0</v>
      </c>
      <c r="G144" s="4">
        <f>ROUND('Group Inputs'!BS5,2)</f>
        <v>12.0</v>
      </c>
      <c r="H144" s="4">
        <f>ROUND('Group Inputs'!BS6,2)</f>
        <v>18.0</v>
      </c>
      <c r="I144" s="4">
        <f>ROUND('Group Inputs'!BS7,2)</f>
        <v>12.0</v>
      </c>
      <c r="J144" s="4">
        <f>ROUND('Group Inputs'!BS8,2)</f>
        <v>10.0</v>
      </c>
      <c r="K144" s="4">
        <f>ROUND('Group Inputs'!BS9,2)</f>
        <v>4.0</v>
      </c>
      <c r="L144" s="3" t="s">
        <v>461</v>
      </c>
      <c r="M144" s="3" t="s">
        <v>1078</v>
      </c>
      <c r="N144" s="3" t="s">
        <v>159</v>
      </c>
    </row>
    <row r="145" spans="1:14">
      <c r="A145" s="2" t="s">
        <v>1079</v>
      </c>
      <c r="B145" s="3" t="s">
        <v>1080</v>
      </c>
      <c r="C145" s="3" t="s">
        <v>447</v>
      </c>
      <c r="D145" s="3" t="s">
        <v>1081</v>
      </c>
      <c r="E145" s="3" t="s">
        <v>1082</v>
      </c>
      <c r="F145" s="4">
        <f>ROUND(100*NORM.DIST('Group Inputs'!BT4,'Group Inputs'!BU4,SQRT('Group Inputs'!BV4),TRUE),2)</f>
        <v>64.9</v>
      </c>
      <c r="G145" s="4">
        <f>ROUND(100*NORM.DIST('Group Inputs'!BT5,'Group Inputs'!BU5,SQRT('Group Inputs'!BV5),TRUE),2)</f>
        <v>59.89</v>
      </c>
      <c r="H145" s="4">
        <f>ROUND(100*NORM.DIST('Group Inputs'!BT6,'Group Inputs'!BU6,SQRT('Group Inputs'!BV6),TRUE),2)</f>
        <v>65.54</v>
      </c>
      <c r="I145" s="4">
        <f>ROUND(100*NORM.DIST('Group Inputs'!BT7,'Group Inputs'!BU7,SQRT('Group Inputs'!BV7),TRUE),2)</f>
        <v>65.82</v>
      </c>
      <c r="J145" s="4">
        <f>ROUND(100*NORM.DIST('Group Inputs'!BT8,'Group Inputs'!BU8,SQRT('Group Inputs'!BV8),TRUE),2)</f>
        <v>61.08</v>
      </c>
      <c r="K145" s="4">
        <f>ROUND(100*NORM.DIST('Group Inputs'!BT9,'Group Inputs'!BU9,SQRT('Group Inputs'!BV9),TRUE),2)</f>
        <v>69.69</v>
      </c>
      <c r="L145" s="3" t="s">
        <v>1083</v>
      </c>
      <c r="M145" s="3" t="s">
        <v>1084</v>
      </c>
      <c r="N145" s="3" t="s">
        <v>1085</v>
      </c>
    </row>
    <row r="146" spans="1:14">
      <c r="A146" s="2" t="s">
        <v>1086</v>
      </c>
      <c r="B146" s="3" t="s">
        <v>1087</v>
      </c>
      <c r="C146" s="3" t="s">
        <v>614</v>
      </c>
      <c r="D146" s="3" t="s">
        <v>1076</v>
      </c>
      <c r="E146" s="3" t="s">
        <v>1088</v>
      </c>
      <c r="F146" s="4">
        <f>ROUND(('Group Inputs'!CU4-'Group Inputs'!CV4)/1000,2)</f>
        <v>-21.12</v>
      </c>
      <c r="G146" s="4">
        <f>ROUND(('Group Inputs'!CU5-'Group Inputs'!CV5)/1000,2)</f>
        <v>-20.76</v>
      </c>
      <c r="H146" s="4">
        <f>ROUND(('Group Inputs'!CU6-'Group Inputs'!CV6)/1000,2)</f>
        <v>-12.01</v>
      </c>
      <c r="I146" s="4">
        <f>ROUND(('Group Inputs'!CU7-'Group Inputs'!CV7)/1000,2)</f>
        <v>-13.98</v>
      </c>
      <c r="J146" s="4">
        <f>ROUND(('Group Inputs'!CU8-'Group Inputs'!CV8)/1000,2)</f>
        <v>-38.92</v>
      </c>
      <c r="K146" s="4">
        <f>ROUND(('Group Inputs'!CU9-'Group Inputs'!CV9)/1000,2)</f>
        <v>-56.18</v>
      </c>
      <c r="L146" s="3" t="s">
        <v>1089</v>
      </c>
      <c r="M146" s="3" t="s">
        <v>1090</v>
      </c>
      <c r="N146" s="3" t="s">
        <v>1091</v>
      </c>
    </row>
    <row r="147" spans="1:14">
      <c r="A147" s="2" t="s">
        <v>1092</v>
      </c>
      <c r="B147" s="3" t="s">
        <v>1093</v>
      </c>
      <c r="C147" s="3" t="s">
        <v>1094</v>
      </c>
      <c r="D147" s="3" t="s">
        <v>1095</v>
      </c>
      <c r="E147" s="3" t="s">
        <v>1096</v>
      </c>
      <c r="F147" s="8" t="str">
        <f>IF('Group Inputs'!CC4+'Group Inputs'!CD4+'Group Inputs'!CW4&gt;=0,"None within 90 d",ROUND(('Group Inputs'!CC4+'Group Inputs'!CD4+'Group Inputs'!CW4)/1000,1))</f>
        <v>None within 90 d</v>
      </c>
      <c r="G147" s="8" t="str">
        <f>IF('Group Inputs'!CC5+'Group Inputs'!CD5+'Group Inputs'!CW5&gt;=0,"None within 90 d",ROUND(('Group Inputs'!CC5+'Group Inputs'!CD5+'Group Inputs'!CW5)/1000,1))</f>
        <v>None within 90 d</v>
      </c>
      <c r="H147" s="8" t="str">
        <f>IF('Group Inputs'!CC6+'Group Inputs'!CD6+'Group Inputs'!CW6&gt;=0,"None within 90 d",ROUND(('Group Inputs'!CC6+'Group Inputs'!CD6+'Group Inputs'!CW6)/1000,1))</f>
        <v>None within 90 d</v>
      </c>
      <c r="I147" s="8" t="str">
        <f>IF('Group Inputs'!CC7+'Group Inputs'!CD7+'Group Inputs'!CW7&gt;=0,"None within 90 d",ROUND(('Group Inputs'!CC7+'Group Inputs'!CD7+'Group Inputs'!CW7)/1000,1))</f>
        <v>None within 90 d</v>
      </c>
      <c r="J147" s="8" t="str">
        <f>IF('Group Inputs'!CC8+'Group Inputs'!CD8+'Group Inputs'!CW8&gt;=0,"None within 90 d",ROUND(('Group Inputs'!CC8+'Group Inputs'!CD8+'Group Inputs'!CW8)/1000,1))</f>
        <v>None within 90 d</v>
      </c>
      <c r="K147" s="8" t="str">
        <f>IF('Group Inputs'!CC9+'Group Inputs'!CD9+'Group Inputs'!CW9&gt;=0,"None within 90 d",ROUND(('Group Inputs'!CC9+'Group Inputs'!CD9+'Group Inputs'!CW9)/1000,1))</f>
        <v>None within 90 d</v>
      </c>
      <c r="L147" s="3" t="s">
        <v>1097</v>
      </c>
      <c r="M147" s="3" t="s">
        <v>1098</v>
      </c>
      <c r="N147" s="3" t="s">
        <v>1099</v>
      </c>
    </row>
    <row r="148" spans="1:14">
      <c r="A148" s="2" t="s">
        <v>1100</v>
      </c>
      <c r="B148" s="3" t="s">
        <v>1101</v>
      </c>
      <c r="C148" s="3" t="s">
        <v>782</v>
      </c>
      <c r="D148" s="3" t="s">
        <v>1102</v>
      </c>
      <c r="E148" s="3" t="s">
        <v>1103</v>
      </c>
      <c r="F148" s="8" t="str">
        <f>IF('Group Inputs'!CY4=0,"No forecast",IF('Group Inputs'!CX4/'Group Inputs'!CY4&gt;Parameters!$B$4,"Breach forecast","Not forecast"))</f>
        <v>Not forecast</v>
      </c>
      <c r="G148" s="8" t="str">
        <f>IF('Group Inputs'!CY5=0,"No forecast",IF('Group Inputs'!CX5/'Group Inputs'!CY5&gt;Parameters!$B$4,"Breach forecast","Not forecast"))</f>
        <v>Not forecast</v>
      </c>
      <c r="H148" s="8" t="str">
        <f>IF('Group Inputs'!CY6=0,"No forecast",IF('Group Inputs'!CX6/'Group Inputs'!CY6&gt;Parameters!$B$4,"Breach forecast","Not forecast"))</f>
        <v>Not forecast</v>
      </c>
      <c r="I148" s="8" t="str">
        <f>IF('Group Inputs'!CY7=0,"No forecast",IF('Group Inputs'!CX7/'Group Inputs'!CY7&gt;Parameters!$B$4,"Breach forecast","Not forecast"))</f>
        <v>Not forecast</v>
      </c>
      <c r="J148" s="8" t="str">
        <f>IF('Group Inputs'!CY8=0,"No forecast",IF('Group Inputs'!CX8/'Group Inputs'!CY8&gt;Parameters!$B$4,"Breach forecast","Not forecast"))</f>
        <v>Not forecast</v>
      </c>
      <c r="K148" s="8" t="str">
        <f>IF('Group Inputs'!CY9=0,"No forecast",IF('Group Inputs'!CX9/'Group Inputs'!CY9&gt;Parameters!$B$4,"Breach forecast","Not forecast"))</f>
        <v>Not forecast</v>
      </c>
      <c r="L148" s="3" t="s">
        <v>1104</v>
      </c>
      <c r="M148" s="3" t="s">
        <v>1105</v>
      </c>
      <c r="N148" s="3" t="s">
        <v>1106</v>
      </c>
    </row>
    <row r="149" spans="1:14">
      <c r="A149" s="2" t="s">
        <v>1107</v>
      </c>
      <c r="B149" s="3" t="s">
        <v>1108</v>
      </c>
      <c r="C149" s="3" t="s">
        <v>1109</v>
      </c>
      <c r="D149" s="3" t="s">
        <v>1081</v>
      </c>
      <c r="E149" s="3" t="s">
        <v>1110</v>
      </c>
      <c r="F149" s="4">
        <f>ROUND('Group Inputs'!BX4/1000,2)</f>
        <v>19.21</v>
      </c>
      <c r="G149" s="4">
        <f>ROUND('Group Inputs'!BX5/1000,2)</f>
        <v>28.02</v>
      </c>
      <c r="H149" s="4">
        <f>ROUND('Group Inputs'!BX6/1000,2)</f>
        <v>23.28</v>
      </c>
      <c r="I149" s="4">
        <f>ROUND('Group Inputs'!BX7/1000,2)</f>
        <v>32.77</v>
      </c>
      <c r="J149" s="4">
        <f>ROUND('Group Inputs'!BX8/1000,2)</f>
        <v>28.34</v>
      </c>
      <c r="K149" s="4">
        <f>ROUND('Group Inputs'!BX9/1000,2)</f>
        <v>28.01</v>
      </c>
      <c r="L149" s="3" t="s">
        <v>1111</v>
      </c>
      <c r="M149" s="3" t="s">
        <v>1112</v>
      </c>
      <c r="N149" s="3" t="s">
        <v>169</v>
      </c>
    </row>
    <row r="150" spans="1:14">
      <c r="A150" s="2" t="s">
        <v>1113</v>
      </c>
      <c r="B150" s="3" t="s">
        <v>1114</v>
      </c>
      <c r="C150" s="3" t="s">
        <v>447</v>
      </c>
      <c r="D150" s="3" t="s">
        <v>1081</v>
      </c>
      <c r="E150" s="3" t="s">
        <v>1115</v>
      </c>
      <c r="F150" s="4">
        <f>ROUND(100*NORM.DIST(0.78*'Group Inputs'!BW4,'Group Inputs'!BU4,SQRT('Group Inputs'!BV4),TRUE),2)</f>
        <v>0.0</v>
      </c>
      <c r="G150" s="4">
        <f>ROUND(100*NORM.DIST(0.78*'Group Inputs'!BW5,'Group Inputs'!BU5,SQRT('Group Inputs'!BV5),TRUE),2)</f>
        <v>0.0</v>
      </c>
      <c r="H150" s="4">
        <f>ROUND(100*NORM.DIST(0.78*'Group Inputs'!BW6,'Group Inputs'!BU6,SQRT('Group Inputs'!BV6),TRUE),2)</f>
        <v>0.0</v>
      </c>
      <c r="I150" s="4">
        <f>ROUND(100*NORM.DIST(0.78*'Group Inputs'!BW7,'Group Inputs'!BU7,SQRT('Group Inputs'!BV7),TRUE),2)</f>
        <v>0.0</v>
      </c>
      <c r="J150" s="4">
        <f>ROUND(100*NORM.DIST(0.78*'Group Inputs'!BW8,'Group Inputs'!BU8,SQRT('Group Inputs'!BV8),TRUE),2)</f>
        <v>0.0</v>
      </c>
      <c r="K150" s="4">
        <f>ROUND(100*NORM.DIST(0.78*'Group Inputs'!BW9,'Group Inputs'!BU9,SQRT('Group Inputs'!BV9),TRUE),2)</f>
        <v>0.0</v>
      </c>
      <c r="L150" s="3" t="s">
        <v>1116</v>
      </c>
      <c r="M150" s="3" t="s">
        <v>597</v>
      </c>
      <c r="N150" s="3" t="s">
        <v>1117</v>
      </c>
    </row>
  </sheetData>
  <autoFilter ref="A1:N150"/>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GG9"/>
  <sheetViews>
    <sheetView workbookViewId="0">
      <pane xSplit="2" ySplit="3" topLeftCell="C4" activePane="bottomRight" state="frozen"/>
      <selection pane="topRight" activeCell="C1" sqref="C1"/>
      <selection pane="bottomLeft" activeCell="A4" sqref="A4"/>
      <selection pane="bottomRight"/>
    </sheetView>
  </sheetViews>
  <sheetFormatPr defaultRowHeight="15"/>
  <cols>
    <col min="1" max="2" width="10.7109375" customWidth="1"/>
    <col min="3" max="189" width="15.7109375" customWidth="1"/>
  </cols>
  <sheetData>
    <row r="1" spans="1:189" ht="48" customHeight="1">
      <c r="A1" s="9" t="s">
        <v>15</v>
      </c>
      <c r="B1" s="9" t="s">
        <v>21</v>
      </c>
      <c r="C1" s="9" t="s">
        <v>184</v>
      </c>
      <c r="D1" s="9" t="s">
        <v>391</v>
      </c>
      <c r="E1" s="9" t="s">
        <v>26</v>
      </c>
      <c r="F1" s="9" t="s">
        <v>28</v>
      </c>
      <c r="G1" s="9" t="s">
        <v>30</v>
      </c>
      <c r="H1" s="9" t="s">
        <v>32</v>
      </c>
      <c r="I1" s="9" t="s">
        <v>34</v>
      </c>
      <c r="J1" s="9" t="s">
        <v>36</v>
      </c>
      <c r="K1" s="9" t="s">
        <v>38</v>
      </c>
      <c r="L1" s="9" t="s">
        <v>40</v>
      </c>
      <c r="M1" s="9" t="s">
        <v>42</v>
      </c>
      <c r="N1" s="9" t="s">
        <v>44</v>
      </c>
      <c r="O1" s="9" t="s">
        <v>46</v>
      </c>
      <c r="P1" s="9" t="s">
        <v>48</v>
      </c>
      <c r="Q1" s="9" t="s">
        <v>50</v>
      </c>
      <c r="R1" s="9" t="s">
        <v>52</v>
      </c>
      <c r="S1" s="9" t="s">
        <v>54</v>
      </c>
      <c r="T1" s="9" t="s">
        <v>56</v>
      </c>
      <c r="U1" s="9" t="s">
        <v>58</v>
      </c>
      <c r="V1" s="9" t="s">
        <v>60</v>
      </c>
      <c r="W1" s="9" t="s">
        <v>62</v>
      </c>
      <c r="X1" s="9" t="s">
        <v>64</v>
      </c>
      <c r="Y1" s="9" t="s">
        <v>66</v>
      </c>
      <c r="Z1" s="9" t="s">
        <v>68</v>
      </c>
      <c r="AA1" s="9" t="s">
        <v>70</v>
      </c>
      <c r="AB1" s="9" t="s">
        <v>72</v>
      </c>
      <c r="AC1" s="9" t="s">
        <v>74</v>
      </c>
      <c r="AD1" s="9" t="s">
        <v>76</v>
      </c>
      <c r="AE1" s="9" t="s">
        <v>78</v>
      </c>
      <c r="AF1" s="9" t="s">
        <v>80</v>
      </c>
      <c r="AG1" s="9" t="s">
        <v>82</v>
      </c>
      <c r="AH1" s="9" t="s">
        <v>84</v>
      </c>
      <c r="AI1" s="9" t="s">
        <v>86</v>
      </c>
      <c r="AJ1" s="9" t="s">
        <v>88</v>
      </c>
      <c r="AK1" s="9" t="s">
        <v>90</v>
      </c>
      <c r="AL1" s="9" t="s">
        <v>92</v>
      </c>
      <c r="AM1" s="9" t="s">
        <v>94</v>
      </c>
      <c r="AN1" s="9" t="s">
        <v>96</v>
      </c>
      <c r="AO1" s="9" t="s">
        <v>98</v>
      </c>
      <c r="AP1" s="9" t="s">
        <v>100</v>
      </c>
      <c r="AQ1" s="9" t="s">
        <v>102</v>
      </c>
      <c r="AR1" s="9" t="s">
        <v>104</v>
      </c>
      <c r="AS1" s="9" t="s">
        <v>106</v>
      </c>
      <c r="AT1" s="9" t="s">
        <v>108</v>
      </c>
      <c r="AU1" s="9" t="s">
        <v>110</v>
      </c>
      <c r="AV1" s="9" t="s">
        <v>112</v>
      </c>
      <c r="AW1" s="9" t="s">
        <v>114</v>
      </c>
      <c r="AX1" s="9" t="s">
        <v>116</v>
      </c>
      <c r="AY1" s="9" t="s">
        <v>118</v>
      </c>
      <c r="AZ1" s="9" t="s">
        <v>120</v>
      </c>
      <c r="BA1" s="9" t="s">
        <v>122</v>
      </c>
      <c r="BB1" s="9" t="s">
        <v>124</v>
      </c>
      <c r="BC1" s="9" t="s">
        <v>126</v>
      </c>
      <c r="BD1" s="9" t="s">
        <v>128</v>
      </c>
      <c r="BE1" s="9" t="s">
        <v>130</v>
      </c>
      <c r="BF1" s="9" t="s">
        <v>132</v>
      </c>
      <c r="BG1" s="9" t="s">
        <v>134</v>
      </c>
      <c r="BH1" s="9" t="s">
        <v>136</v>
      </c>
      <c r="BI1" s="9" t="s">
        <v>138</v>
      </c>
      <c r="BJ1" s="9" t="s">
        <v>140</v>
      </c>
      <c r="BK1" s="9" t="s">
        <v>142</v>
      </c>
      <c r="BL1" s="9" t="s">
        <v>144</v>
      </c>
      <c r="BM1" s="9" t="s">
        <v>146</v>
      </c>
      <c r="BN1" s="9" t="s">
        <v>148</v>
      </c>
      <c r="BO1" s="9" t="s">
        <v>150</v>
      </c>
      <c r="BP1" s="9" t="s">
        <v>152</v>
      </c>
      <c r="BQ1" s="9" t="s">
        <v>154</v>
      </c>
      <c r="BR1" s="9" t="s">
        <v>156</v>
      </c>
      <c r="BS1" s="9" t="s">
        <v>158</v>
      </c>
      <c r="BT1" s="9" t="s">
        <v>160</v>
      </c>
      <c r="BU1" s="9" t="s">
        <v>162</v>
      </c>
      <c r="BV1" s="9" t="s">
        <v>164</v>
      </c>
      <c r="BW1" s="9" t="s">
        <v>166</v>
      </c>
      <c r="BX1" s="9" t="s">
        <v>168</v>
      </c>
      <c r="BY1" s="9" t="s">
        <v>188</v>
      </c>
      <c r="BZ1" s="9" t="s">
        <v>191</v>
      </c>
      <c r="CA1" s="9" t="s">
        <v>193</v>
      </c>
      <c r="CB1" s="9" t="s">
        <v>195</v>
      </c>
      <c r="CC1" s="9" t="s">
        <v>197</v>
      </c>
      <c r="CD1" s="9" t="s">
        <v>199</v>
      </c>
      <c r="CE1" s="9" t="s">
        <v>201</v>
      </c>
      <c r="CF1" s="9" t="s">
        <v>203</v>
      </c>
      <c r="CG1" s="9" t="s">
        <v>205</v>
      </c>
      <c r="CH1" s="9" t="s">
        <v>207</v>
      </c>
      <c r="CI1" s="9" t="s">
        <v>209</v>
      </c>
      <c r="CJ1" s="9" t="s">
        <v>211</v>
      </c>
      <c r="CK1" s="9" t="s">
        <v>213</v>
      </c>
      <c r="CL1" s="9" t="s">
        <v>215</v>
      </c>
      <c r="CM1" s="9" t="s">
        <v>217</v>
      </c>
      <c r="CN1" s="9" t="s">
        <v>219</v>
      </c>
      <c r="CO1" s="9" t="s">
        <v>221</v>
      </c>
      <c r="CP1" s="9" t="s">
        <v>223</v>
      </c>
      <c r="CQ1" s="9" t="s">
        <v>225</v>
      </c>
      <c r="CR1" s="9" t="s">
        <v>227</v>
      </c>
      <c r="CS1" s="9" t="s">
        <v>229</v>
      </c>
      <c r="CT1" s="9" t="s">
        <v>231</v>
      </c>
      <c r="CU1" s="9" t="s">
        <v>233</v>
      </c>
      <c r="CV1" s="9" t="s">
        <v>235</v>
      </c>
      <c r="CW1" s="9" t="s">
        <v>237</v>
      </c>
      <c r="CX1" s="9" t="s">
        <v>239</v>
      </c>
      <c r="CY1" s="9" t="s">
        <v>241</v>
      </c>
      <c r="CZ1" s="9" t="s">
        <v>243</v>
      </c>
      <c r="DA1" s="9" t="s">
        <v>245</v>
      </c>
      <c r="DB1" s="9" t="s">
        <v>247</v>
      </c>
      <c r="DC1" s="9" t="s">
        <v>249</v>
      </c>
      <c r="DD1" s="9" t="s">
        <v>251</v>
      </c>
      <c r="DE1" s="9" t="s">
        <v>253</v>
      </c>
      <c r="DF1" s="9" t="s">
        <v>255</v>
      </c>
      <c r="DG1" s="9" t="s">
        <v>257</v>
      </c>
      <c r="DH1" s="9" t="s">
        <v>259</v>
      </c>
      <c r="DI1" s="9" t="s">
        <v>261</v>
      </c>
      <c r="DJ1" s="9" t="s">
        <v>263</v>
      </c>
      <c r="DK1" s="9" t="s">
        <v>265</v>
      </c>
      <c r="DL1" s="9" t="s">
        <v>267</v>
      </c>
      <c r="DM1" s="9" t="s">
        <v>269</v>
      </c>
      <c r="DN1" s="9" t="s">
        <v>271</v>
      </c>
      <c r="DO1" s="9" t="s">
        <v>273</v>
      </c>
      <c r="DP1" s="9" t="s">
        <v>275</v>
      </c>
      <c r="DQ1" s="9" t="s">
        <v>277</v>
      </c>
      <c r="DR1" s="9" t="s">
        <v>279</v>
      </c>
      <c r="DS1" s="9" t="s">
        <v>281</v>
      </c>
      <c r="DT1" s="9" t="s">
        <v>283</v>
      </c>
      <c r="DU1" s="9" t="s">
        <v>285</v>
      </c>
      <c r="DV1" s="9" t="s">
        <v>287</v>
      </c>
      <c r="DW1" s="9" t="s">
        <v>289</v>
      </c>
      <c r="DX1" s="9" t="s">
        <v>291</v>
      </c>
      <c r="DY1" s="9" t="s">
        <v>293</v>
      </c>
      <c r="DZ1" s="9" t="s">
        <v>295</v>
      </c>
      <c r="EA1" s="9" t="s">
        <v>297</v>
      </c>
      <c r="EB1" s="9" t="s">
        <v>299</v>
      </c>
      <c r="EC1" s="9" t="s">
        <v>301</v>
      </c>
      <c r="ED1" s="9" t="s">
        <v>303</v>
      </c>
      <c r="EE1" s="9" t="s">
        <v>305</v>
      </c>
      <c r="EF1" s="9" t="s">
        <v>307</v>
      </c>
      <c r="EG1" s="9" t="s">
        <v>309</v>
      </c>
      <c r="EH1" s="9" t="s">
        <v>311</v>
      </c>
      <c r="EI1" s="9" t="s">
        <v>313</v>
      </c>
      <c r="EJ1" s="9" t="s">
        <v>315</v>
      </c>
      <c r="EK1" s="9" t="s">
        <v>317</v>
      </c>
      <c r="EL1" s="9" t="s">
        <v>319</v>
      </c>
      <c r="EM1" s="9" t="s">
        <v>321</v>
      </c>
      <c r="EN1" s="9" t="s">
        <v>323</v>
      </c>
      <c r="EO1" s="9" t="s">
        <v>325</v>
      </c>
      <c r="EP1" s="9" t="s">
        <v>327</v>
      </c>
      <c r="EQ1" s="9" t="s">
        <v>329</v>
      </c>
      <c r="ER1" s="9" t="s">
        <v>331</v>
      </c>
      <c r="ES1" s="9" t="s">
        <v>333</v>
      </c>
      <c r="ET1" s="9" t="s">
        <v>335</v>
      </c>
      <c r="EU1" s="9" t="s">
        <v>337</v>
      </c>
      <c r="EV1" s="9" t="s">
        <v>339</v>
      </c>
      <c r="EW1" s="9" t="s">
        <v>341</v>
      </c>
      <c r="EX1" s="9" t="s">
        <v>343</v>
      </c>
      <c r="EY1" s="9" t="s">
        <v>345</v>
      </c>
      <c r="EZ1" s="9" t="s">
        <v>347</v>
      </c>
      <c r="FA1" s="9" t="s">
        <v>349</v>
      </c>
      <c r="FB1" s="9" t="s">
        <v>351</v>
      </c>
      <c r="FC1" s="9" t="s">
        <v>353</v>
      </c>
      <c r="FD1" s="9" t="s">
        <v>355</v>
      </c>
      <c r="FE1" s="9" t="s">
        <v>357</v>
      </c>
      <c r="FF1" s="9" t="s">
        <v>359</v>
      </c>
      <c r="FG1" s="9" t="s">
        <v>361</v>
      </c>
      <c r="FH1" s="9" t="s">
        <v>363</v>
      </c>
      <c r="FI1" s="9" t="s">
        <v>365</v>
      </c>
      <c r="FJ1" s="9" t="s">
        <v>367</v>
      </c>
      <c r="FK1" s="9" t="s">
        <v>369</v>
      </c>
      <c r="FL1" s="9" t="s">
        <v>371</v>
      </c>
      <c r="FM1" s="9" t="s">
        <v>373</v>
      </c>
      <c r="FN1" s="9" t="s">
        <v>375</v>
      </c>
      <c r="FO1" s="9" t="s">
        <v>377</v>
      </c>
      <c r="FP1" s="9" t="s">
        <v>379</v>
      </c>
      <c r="FQ1" s="9" t="s">
        <v>381</v>
      </c>
      <c r="FR1" s="9" t="s">
        <v>383</v>
      </c>
      <c r="FS1" s="9" t="s">
        <v>385</v>
      </c>
      <c r="FT1" s="9" t="s">
        <v>387</v>
      </c>
      <c r="FU1" s="9" t="s">
        <v>389</v>
      </c>
      <c r="FV1" s="10" t="s">
        <v>395</v>
      </c>
      <c r="FW1" s="10" t="s">
        <v>398</v>
      </c>
      <c r="FX1" s="10" t="s">
        <v>401</v>
      </c>
      <c r="FY1" s="10" t="s">
        <v>404</v>
      </c>
      <c r="FZ1" s="10" t="s">
        <v>407</v>
      </c>
      <c r="GA1" s="10" t="s">
        <v>410</v>
      </c>
      <c r="GB1" s="10" t="s">
        <v>413</v>
      </c>
      <c r="GC1" s="10" t="s">
        <v>416</v>
      </c>
      <c r="GD1" s="10" t="s">
        <v>419</v>
      </c>
      <c r="GE1" s="10" t="s">
        <v>422</v>
      </c>
      <c r="GF1" s="10" t="s">
        <v>425</v>
      </c>
      <c r="GG1" s="10" t="s">
        <v>428</v>
      </c>
    </row>
    <row r="2" spans="1:189">
      <c r="A2" s="11" t="s">
        <v>16</v>
      </c>
      <c r="B2" s="11" t="s">
        <v>22</v>
      </c>
      <c r="C2" s="11" t="s">
        <v>185</v>
      </c>
      <c r="D2" s="11" t="s">
        <v>392</v>
      </c>
      <c r="E2" s="11" t="s">
        <v>27</v>
      </c>
      <c r="F2" s="11" t="s">
        <v>29</v>
      </c>
      <c r="G2" s="11" t="s">
        <v>31</v>
      </c>
      <c r="H2" s="11" t="s">
        <v>33</v>
      </c>
      <c r="I2" s="11" t="s">
        <v>35</v>
      </c>
      <c r="J2" s="11" t="s">
        <v>37</v>
      </c>
      <c r="K2" s="11" t="s">
        <v>39</v>
      </c>
      <c r="L2" s="11" t="s">
        <v>41</v>
      </c>
      <c r="M2" s="11" t="s">
        <v>43</v>
      </c>
      <c r="N2" s="11" t="s">
        <v>45</v>
      </c>
      <c r="O2" s="11" t="s">
        <v>47</v>
      </c>
      <c r="P2" s="11" t="s">
        <v>49</v>
      </c>
      <c r="Q2" s="11" t="s">
        <v>51</v>
      </c>
      <c r="R2" s="11" t="s">
        <v>53</v>
      </c>
      <c r="S2" s="11" t="s">
        <v>55</v>
      </c>
      <c r="T2" s="11" t="s">
        <v>57</v>
      </c>
      <c r="U2" s="11" t="s">
        <v>59</v>
      </c>
      <c r="V2" s="11" t="s">
        <v>61</v>
      </c>
      <c r="W2" s="11" t="s">
        <v>63</v>
      </c>
      <c r="X2" s="11" t="s">
        <v>65</v>
      </c>
      <c r="Y2" s="11" t="s">
        <v>67</v>
      </c>
      <c r="Z2" s="11" t="s">
        <v>69</v>
      </c>
      <c r="AA2" s="11" t="s">
        <v>71</v>
      </c>
      <c r="AB2" s="11" t="s">
        <v>73</v>
      </c>
      <c r="AC2" s="11" t="s">
        <v>75</v>
      </c>
      <c r="AD2" s="11" t="s">
        <v>77</v>
      </c>
      <c r="AE2" s="11" t="s">
        <v>79</v>
      </c>
      <c r="AF2" s="11" t="s">
        <v>81</v>
      </c>
      <c r="AG2" s="11" t="s">
        <v>83</v>
      </c>
      <c r="AH2" s="11" t="s">
        <v>85</v>
      </c>
      <c r="AI2" s="11" t="s">
        <v>87</v>
      </c>
      <c r="AJ2" s="11" t="s">
        <v>89</v>
      </c>
      <c r="AK2" s="11" t="s">
        <v>91</v>
      </c>
      <c r="AL2" s="11" t="s">
        <v>93</v>
      </c>
      <c r="AM2" s="11" t="s">
        <v>95</v>
      </c>
      <c r="AN2" s="11" t="s">
        <v>97</v>
      </c>
      <c r="AO2" s="11" t="s">
        <v>99</v>
      </c>
      <c r="AP2" s="11" t="s">
        <v>101</v>
      </c>
      <c r="AQ2" s="11" t="s">
        <v>103</v>
      </c>
      <c r="AR2" s="11" t="s">
        <v>105</v>
      </c>
      <c r="AS2" s="11" t="s">
        <v>107</v>
      </c>
      <c r="AT2" s="11" t="s">
        <v>109</v>
      </c>
      <c r="AU2" s="11" t="s">
        <v>111</v>
      </c>
      <c r="AV2" s="11" t="s">
        <v>113</v>
      </c>
      <c r="AW2" s="11" t="s">
        <v>115</v>
      </c>
      <c r="AX2" s="11" t="s">
        <v>117</v>
      </c>
      <c r="AY2" s="11" t="s">
        <v>119</v>
      </c>
      <c r="AZ2" s="11" t="s">
        <v>121</v>
      </c>
      <c r="BA2" s="11" t="s">
        <v>123</v>
      </c>
      <c r="BB2" s="11" t="s">
        <v>125</v>
      </c>
      <c r="BC2" s="11" t="s">
        <v>127</v>
      </c>
      <c r="BD2" s="11" t="s">
        <v>129</v>
      </c>
      <c r="BE2" s="11" t="s">
        <v>131</v>
      </c>
      <c r="BF2" s="11" t="s">
        <v>133</v>
      </c>
      <c r="BG2" s="11" t="s">
        <v>135</v>
      </c>
      <c r="BH2" s="11" t="s">
        <v>137</v>
      </c>
      <c r="BI2" s="11" t="s">
        <v>139</v>
      </c>
      <c r="BJ2" s="11" t="s">
        <v>141</v>
      </c>
      <c r="BK2" s="11" t="s">
        <v>143</v>
      </c>
      <c r="BL2" s="11" t="s">
        <v>145</v>
      </c>
      <c r="BM2" s="11" t="s">
        <v>147</v>
      </c>
      <c r="BN2" s="11" t="s">
        <v>149</v>
      </c>
      <c r="BO2" s="11" t="s">
        <v>151</v>
      </c>
      <c r="BP2" s="11" t="s">
        <v>153</v>
      </c>
      <c r="BQ2" s="11" t="s">
        <v>155</v>
      </c>
      <c r="BR2" s="11" t="s">
        <v>157</v>
      </c>
      <c r="BS2" s="11" t="s">
        <v>159</v>
      </c>
      <c r="BT2" s="11" t="s">
        <v>161</v>
      </c>
      <c r="BU2" s="11" t="s">
        <v>163</v>
      </c>
      <c r="BV2" s="11" t="s">
        <v>165</v>
      </c>
      <c r="BW2" s="11" t="s">
        <v>167</v>
      </c>
      <c r="BX2" s="11" t="s">
        <v>169</v>
      </c>
      <c r="BY2" s="11" t="s">
        <v>189</v>
      </c>
      <c r="BZ2" s="11" t="s">
        <v>192</v>
      </c>
      <c r="CA2" s="11" t="s">
        <v>194</v>
      </c>
      <c r="CB2" s="11" t="s">
        <v>196</v>
      </c>
      <c r="CC2" s="11" t="s">
        <v>198</v>
      </c>
      <c r="CD2" s="11" t="s">
        <v>200</v>
      </c>
      <c r="CE2" s="11" t="s">
        <v>202</v>
      </c>
      <c r="CF2" s="11" t="s">
        <v>204</v>
      </c>
      <c r="CG2" s="11" t="s">
        <v>206</v>
      </c>
      <c r="CH2" s="11" t="s">
        <v>208</v>
      </c>
      <c r="CI2" s="11" t="s">
        <v>210</v>
      </c>
      <c r="CJ2" s="11" t="s">
        <v>212</v>
      </c>
      <c r="CK2" s="11" t="s">
        <v>214</v>
      </c>
      <c r="CL2" s="11" t="s">
        <v>216</v>
      </c>
      <c r="CM2" s="11" t="s">
        <v>218</v>
      </c>
      <c r="CN2" s="11" t="s">
        <v>220</v>
      </c>
      <c r="CO2" s="11" t="s">
        <v>222</v>
      </c>
      <c r="CP2" s="11" t="s">
        <v>224</v>
      </c>
      <c r="CQ2" s="11" t="s">
        <v>226</v>
      </c>
      <c r="CR2" s="11" t="s">
        <v>228</v>
      </c>
      <c r="CS2" s="11" t="s">
        <v>230</v>
      </c>
      <c r="CT2" s="11" t="s">
        <v>232</v>
      </c>
      <c r="CU2" s="11" t="s">
        <v>234</v>
      </c>
      <c r="CV2" s="11" t="s">
        <v>236</v>
      </c>
      <c r="CW2" s="11" t="s">
        <v>238</v>
      </c>
      <c r="CX2" s="11" t="s">
        <v>240</v>
      </c>
      <c r="CY2" s="11" t="s">
        <v>242</v>
      </c>
      <c r="CZ2" s="11" t="s">
        <v>244</v>
      </c>
      <c r="DA2" s="11" t="s">
        <v>246</v>
      </c>
      <c r="DB2" s="11" t="s">
        <v>248</v>
      </c>
      <c r="DC2" s="11" t="s">
        <v>250</v>
      </c>
      <c r="DD2" s="11" t="s">
        <v>252</v>
      </c>
      <c r="DE2" s="11" t="s">
        <v>254</v>
      </c>
      <c r="DF2" s="11" t="s">
        <v>256</v>
      </c>
      <c r="DG2" s="11" t="s">
        <v>258</v>
      </c>
      <c r="DH2" s="11" t="s">
        <v>260</v>
      </c>
      <c r="DI2" s="11" t="s">
        <v>262</v>
      </c>
      <c r="DJ2" s="11" t="s">
        <v>264</v>
      </c>
      <c r="DK2" s="11" t="s">
        <v>266</v>
      </c>
      <c r="DL2" s="11" t="s">
        <v>268</v>
      </c>
      <c r="DM2" s="11" t="s">
        <v>270</v>
      </c>
      <c r="DN2" s="11" t="s">
        <v>272</v>
      </c>
      <c r="DO2" s="11" t="s">
        <v>274</v>
      </c>
      <c r="DP2" s="11" t="s">
        <v>276</v>
      </c>
      <c r="DQ2" s="11" t="s">
        <v>278</v>
      </c>
      <c r="DR2" s="11" t="s">
        <v>280</v>
      </c>
      <c r="DS2" s="11" t="s">
        <v>282</v>
      </c>
      <c r="DT2" s="11" t="s">
        <v>284</v>
      </c>
      <c r="DU2" s="11" t="s">
        <v>286</v>
      </c>
      <c r="DV2" s="11" t="s">
        <v>288</v>
      </c>
      <c r="DW2" s="11" t="s">
        <v>290</v>
      </c>
      <c r="DX2" s="11" t="s">
        <v>292</v>
      </c>
      <c r="DY2" s="11" t="s">
        <v>294</v>
      </c>
      <c r="DZ2" s="11" t="s">
        <v>296</v>
      </c>
      <c r="EA2" s="11" t="s">
        <v>298</v>
      </c>
      <c r="EB2" s="11" t="s">
        <v>300</v>
      </c>
      <c r="EC2" s="11" t="s">
        <v>302</v>
      </c>
      <c r="ED2" s="11" t="s">
        <v>304</v>
      </c>
      <c r="EE2" s="11" t="s">
        <v>306</v>
      </c>
      <c r="EF2" s="11" t="s">
        <v>308</v>
      </c>
      <c r="EG2" s="11" t="s">
        <v>310</v>
      </c>
      <c r="EH2" s="11" t="s">
        <v>312</v>
      </c>
      <c r="EI2" s="11" t="s">
        <v>314</v>
      </c>
      <c r="EJ2" s="11" t="s">
        <v>316</v>
      </c>
      <c r="EK2" s="11" t="s">
        <v>318</v>
      </c>
      <c r="EL2" s="11" t="s">
        <v>320</v>
      </c>
      <c r="EM2" s="11" t="s">
        <v>322</v>
      </c>
      <c r="EN2" s="11" t="s">
        <v>324</v>
      </c>
      <c r="EO2" s="11" t="s">
        <v>326</v>
      </c>
      <c r="EP2" s="11" t="s">
        <v>328</v>
      </c>
      <c r="EQ2" s="11" t="s">
        <v>330</v>
      </c>
      <c r="ER2" s="11" t="s">
        <v>332</v>
      </c>
      <c r="ES2" s="11" t="s">
        <v>334</v>
      </c>
      <c r="ET2" s="11" t="s">
        <v>336</v>
      </c>
      <c r="EU2" s="11" t="s">
        <v>338</v>
      </c>
      <c r="EV2" s="11" t="s">
        <v>340</v>
      </c>
      <c r="EW2" s="11" t="s">
        <v>342</v>
      </c>
      <c r="EX2" s="11" t="s">
        <v>344</v>
      </c>
      <c r="EY2" s="11" t="s">
        <v>346</v>
      </c>
      <c r="EZ2" s="11" t="s">
        <v>348</v>
      </c>
      <c r="FA2" s="11" t="s">
        <v>350</v>
      </c>
      <c r="FB2" s="11" t="s">
        <v>352</v>
      </c>
      <c r="FC2" s="11" t="s">
        <v>354</v>
      </c>
      <c r="FD2" s="11" t="s">
        <v>356</v>
      </c>
      <c r="FE2" s="11" t="s">
        <v>358</v>
      </c>
      <c r="FF2" s="11" t="s">
        <v>360</v>
      </c>
      <c r="FG2" s="11" t="s">
        <v>362</v>
      </c>
      <c r="FH2" s="11" t="s">
        <v>364</v>
      </c>
      <c r="FI2" s="11" t="s">
        <v>366</v>
      </c>
      <c r="FJ2" s="11" t="s">
        <v>368</v>
      </c>
      <c r="FK2" s="11" t="s">
        <v>370</v>
      </c>
      <c r="FL2" s="11" t="s">
        <v>372</v>
      </c>
      <c r="FM2" s="11" t="s">
        <v>374</v>
      </c>
      <c r="FN2" s="11" t="s">
        <v>376</v>
      </c>
      <c r="FO2" s="11" t="s">
        <v>378</v>
      </c>
      <c r="FP2" s="11" t="s">
        <v>380</v>
      </c>
      <c r="FQ2" s="11" t="s">
        <v>382</v>
      </c>
      <c r="FR2" s="11" t="s">
        <v>384</v>
      </c>
      <c r="FS2" s="11" t="s">
        <v>386</v>
      </c>
      <c r="FT2" s="11" t="s">
        <v>388</v>
      </c>
      <c r="FU2" s="11" t="s">
        <v>390</v>
      </c>
      <c r="FV2" s="11" t="s">
        <v>396</v>
      </c>
      <c r="FW2" s="11" t="s">
        <v>399</v>
      </c>
      <c r="FX2" s="11" t="s">
        <v>402</v>
      </c>
      <c r="FY2" s="11" t="s">
        <v>405</v>
      </c>
      <c r="FZ2" s="11" t="s">
        <v>408</v>
      </c>
      <c r="GA2" s="11" t="s">
        <v>411</v>
      </c>
      <c r="GB2" s="11" t="s">
        <v>414</v>
      </c>
      <c r="GC2" s="11" t="s">
        <v>417</v>
      </c>
      <c r="GD2" s="11" t="s">
        <v>420</v>
      </c>
      <c r="GE2" s="11" t="s">
        <v>423</v>
      </c>
      <c r="GF2" s="11" t="s">
        <v>426</v>
      </c>
      <c r="GG2" s="11" t="s">
        <v>429</v>
      </c>
    </row>
    <row r="3" spans="1:189" ht="60" customHeight="1">
      <c r="A3" s="9"/>
      <c r="B3" s="9"/>
      <c r="C3" s="9"/>
      <c r="D3" s="9"/>
      <c r="E3" s="12" t="s">
        <v>393</v>
      </c>
      <c r="F3" s="12" t="s">
        <v>393</v>
      </c>
      <c r="G3" s="12" t="s">
        <v>393</v>
      </c>
      <c r="H3" s="12" t="s">
        <v>393</v>
      </c>
      <c r="I3" s="12" t="s">
        <v>393</v>
      </c>
      <c r="J3" s="12" t="s">
        <v>393</v>
      </c>
      <c r="K3" s="12" t="s">
        <v>393</v>
      </c>
      <c r="L3" s="12" t="s">
        <v>393</v>
      </c>
      <c r="M3" s="12" t="s">
        <v>393</v>
      </c>
      <c r="N3" s="12" t="s">
        <v>393</v>
      </c>
      <c r="O3" s="12" t="s">
        <v>393</v>
      </c>
      <c r="P3" s="12" t="s">
        <v>393</v>
      </c>
      <c r="Q3" s="12" t="s">
        <v>393</v>
      </c>
      <c r="R3" s="12" t="s">
        <v>393</v>
      </c>
      <c r="S3" s="12" t="s">
        <v>393</v>
      </c>
      <c r="T3" s="12" t="s">
        <v>393</v>
      </c>
      <c r="U3" s="12" t="s">
        <v>393</v>
      </c>
      <c r="V3" s="12" t="s">
        <v>393</v>
      </c>
      <c r="W3" s="12" t="s">
        <v>393</v>
      </c>
      <c r="X3" s="12" t="s">
        <v>393</v>
      </c>
      <c r="Y3" s="12" t="s">
        <v>393</v>
      </c>
      <c r="Z3" s="12" t="s">
        <v>393</v>
      </c>
      <c r="AA3" s="12" t="s">
        <v>393</v>
      </c>
      <c r="AB3" s="12" t="s">
        <v>393</v>
      </c>
      <c r="AC3" s="12" t="s">
        <v>393</v>
      </c>
      <c r="AD3" s="12" t="s">
        <v>393</v>
      </c>
      <c r="AE3" s="12" t="s">
        <v>393</v>
      </c>
      <c r="AF3" s="12" t="s">
        <v>393</v>
      </c>
      <c r="AG3" s="12" t="s">
        <v>393</v>
      </c>
      <c r="AH3" s="12" t="s">
        <v>393</v>
      </c>
      <c r="AI3" s="12" t="s">
        <v>393</v>
      </c>
      <c r="AJ3" s="12" t="s">
        <v>393</v>
      </c>
      <c r="AK3" s="12" t="s">
        <v>393</v>
      </c>
      <c r="AL3" s="12" t="s">
        <v>393</v>
      </c>
      <c r="AM3" s="12" t="s">
        <v>393</v>
      </c>
      <c r="AN3" s="12" t="s">
        <v>393</v>
      </c>
      <c r="AO3" s="12" t="s">
        <v>393</v>
      </c>
      <c r="AP3" s="12" t="s">
        <v>393</v>
      </c>
      <c r="AQ3" s="12" t="s">
        <v>393</v>
      </c>
      <c r="AR3" s="12" t="s">
        <v>394</v>
      </c>
      <c r="AS3" s="12" t="s">
        <v>393</v>
      </c>
      <c r="AT3" s="12" t="s">
        <v>393</v>
      </c>
      <c r="AU3" s="12" t="s">
        <v>393</v>
      </c>
      <c r="AV3" s="12" t="s">
        <v>393</v>
      </c>
      <c r="AW3" s="12" t="s">
        <v>393</v>
      </c>
      <c r="AX3" s="12" t="s">
        <v>393</v>
      </c>
      <c r="AY3" s="12" t="s">
        <v>393</v>
      </c>
      <c r="AZ3" s="12" t="s">
        <v>393</v>
      </c>
      <c r="BA3" s="12" t="s">
        <v>393</v>
      </c>
      <c r="BB3" s="12" t="s">
        <v>393</v>
      </c>
      <c r="BC3" s="12" t="s">
        <v>393</v>
      </c>
      <c r="BD3" s="12" t="s">
        <v>393</v>
      </c>
      <c r="BE3" s="12" t="s">
        <v>393</v>
      </c>
      <c r="BF3" s="12" t="s">
        <v>393</v>
      </c>
      <c r="BG3" s="12" t="s">
        <v>393</v>
      </c>
      <c r="BH3" s="12" t="s">
        <v>393</v>
      </c>
      <c r="BI3" s="12" t="s">
        <v>393</v>
      </c>
      <c r="BJ3" s="12" t="s">
        <v>393</v>
      </c>
      <c r="BK3" s="12" t="s">
        <v>393</v>
      </c>
      <c r="BL3" s="12" t="s">
        <v>393</v>
      </c>
      <c r="BM3" s="12" t="s">
        <v>393</v>
      </c>
      <c r="BN3" s="12" t="s">
        <v>393</v>
      </c>
      <c r="BO3" s="12" t="s">
        <v>393</v>
      </c>
      <c r="BP3" s="12" t="s">
        <v>393</v>
      </c>
      <c r="BQ3" s="12" t="s">
        <v>393</v>
      </c>
      <c r="BR3" s="12" t="s">
        <v>393</v>
      </c>
      <c r="BS3" s="12" t="s">
        <v>394</v>
      </c>
      <c r="BT3" s="12" t="s">
        <v>393</v>
      </c>
      <c r="BU3" s="12" t="s">
        <v>393</v>
      </c>
      <c r="BV3" s="12" t="s">
        <v>393</v>
      </c>
      <c r="BW3" s="12" t="s">
        <v>393</v>
      </c>
      <c r="BX3" s="12" t="s">
        <v>393</v>
      </c>
      <c r="BY3" s="12" t="s">
        <v>393</v>
      </c>
      <c r="BZ3" s="12" t="s">
        <v>393</v>
      </c>
      <c r="CA3" s="12" t="s">
        <v>393</v>
      </c>
      <c r="CB3" s="12" t="s">
        <v>393</v>
      </c>
      <c r="CC3" s="12" t="s">
        <v>393</v>
      </c>
      <c r="CD3" s="12" t="s">
        <v>393</v>
      </c>
      <c r="CE3" s="12" t="s">
        <v>393</v>
      </c>
      <c r="CF3" s="12" t="s">
        <v>393</v>
      </c>
      <c r="CG3" s="12" t="s">
        <v>393</v>
      </c>
      <c r="CH3" s="12" t="s">
        <v>393</v>
      </c>
      <c r="CI3" s="12" t="s">
        <v>393</v>
      </c>
      <c r="CJ3" s="12" t="s">
        <v>393</v>
      </c>
      <c r="CK3" s="12" t="s">
        <v>393</v>
      </c>
      <c r="CL3" s="12" t="s">
        <v>393</v>
      </c>
      <c r="CM3" s="12" t="s">
        <v>393</v>
      </c>
      <c r="CN3" s="12" t="s">
        <v>393</v>
      </c>
      <c r="CO3" s="12" t="s">
        <v>393</v>
      </c>
      <c r="CP3" s="12" t="s">
        <v>393</v>
      </c>
      <c r="CQ3" s="12" t="s">
        <v>393</v>
      </c>
      <c r="CR3" s="12" t="s">
        <v>393</v>
      </c>
      <c r="CS3" s="12" t="s">
        <v>393</v>
      </c>
      <c r="CT3" s="12" t="s">
        <v>393</v>
      </c>
      <c r="CU3" s="12" t="s">
        <v>393</v>
      </c>
      <c r="CV3" s="12" t="s">
        <v>393</v>
      </c>
      <c r="CW3" s="12" t="s">
        <v>393</v>
      </c>
      <c r="CX3" s="12" t="s">
        <v>393</v>
      </c>
      <c r="CY3" s="12" t="s">
        <v>393</v>
      </c>
      <c r="CZ3" s="12" t="s">
        <v>393</v>
      </c>
      <c r="DA3" s="12" t="s">
        <v>393</v>
      </c>
      <c r="DB3" s="12" t="s">
        <v>393</v>
      </c>
      <c r="DC3" s="12" t="s">
        <v>393</v>
      </c>
      <c r="DD3" s="12" t="s">
        <v>393</v>
      </c>
      <c r="DE3" s="12" t="s">
        <v>393</v>
      </c>
      <c r="DF3" s="12" t="s">
        <v>393</v>
      </c>
      <c r="DG3" s="12" t="s">
        <v>393</v>
      </c>
      <c r="DH3" s="12" t="s">
        <v>393</v>
      </c>
      <c r="DI3" s="12" t="s">
        <v>393</v>
      </c>
      <c r="DJ3" s="12" t="s">
        <v>393</v>
      </c>
      <c r="DK3" s="12" t="s">
        <v>393</v>
      </c>
      <c r="DL3" s="12" t="s">
        <v>393</v>
      </c>
      <c r="DM3" s="12" t="s">
        <v>393</v>
      </c>
      <c r="DN3" s="12" t="s">
        <v>393</v>
      </c>
      <c r="DO3" s="12" t="s">
        <v>393</v>
      </c>
      <c r="DP3" s="12" t="s">
        <v>393</v>
      </c>
      <c r="DQ3" s="12" t="s">
        <v>393</v>
      </c>
      <c r="DR3" s="12" t="s">
        <v>393</v>
      </c>
      <c r="DS3" s="12" t="s">
        <v>393</v>
      </c>
      <c r="DT3" s="12" t="s">
        <v>393</v>
      </c>
      <c r="DU3" s="12" t="s">
        <v>393</v>
      </c>
      <c r="DV3" s="12" t="s">
        <v>393</v>
      </c>
      <c r="DW3" s="12" t="s">
        <v>393</v>
      </c>
      <c r="DX3" s="12" t="s">
        <v>393</v>
      </c>
      <c r="DY3" s="12" t="s">
        <v>393</v>
      </c>
      <c r="DZ3" s="12" t="s">
        <v>393</v>
      </c>
      <c r="EA3" s="12" t="s">
        <v>393</v>
      </c>
      <c r="EB3" s="12" t="s">
        <v>393</v>
      </c>
      <c r="EC3" s="12" t="s">
        <v>393</v>
      </c>
      <c r="ED3" s="12" t="s">
        <v>393</v>
      </c>
      <c r="EE3" s="12" t="s">
        <v>393</v>
      </c>
      <c r="EF3" s="12" t="s">
        <v>393</v>
      </c>
      <c r="EG3" s="12" t="s">
        <v>393</v>
      </c>
      <c r="EH3" s="12" t="s">
        <v>393</v>
      </c>
      <c r="EI3" s="12" t="s">
        <v>393</v>
      </c>
      <c r="EJ3" s="12" t="s">
        <v>393</v>
      </c>
      <c r="EK3" s="12" t="s">
        <v>393</v>
      </c>
      <c r="EL3" s="12" t="s">
        <v>393</v>
      </c>
      <c r="EM3" s="12" t="s">
        <v>393</v>
      </c>
      <c r="EN3" s="12" t="s">
        <v>393</v>
      </c>
      <c r="EO3" s="12" t="s">
        <v>393</v>
      </c>
      <c r="EP3" s="12" t="s">
        <v>393</v>
      </c>
      <c r="EQ3" s="12" t="s">
        <v>393</v>
      </c>
      <c r="ER3" s="12" t="s">
        <v>393</v>
      </c>
      <c r="ES3" s="12" t="s">
        <v>393</v>
      </c>
      <c r="ET3" s="12" t="s">
        <v>393</v>
      </c>
      <c r="EU3" s="12" t="s">
        <v>393</v>
      </c>
      <c r="EV3" s="12" t="s">
        <v>393</v>
      </c>
      <c r="EW3" s="12" t="s">
        <v>393</v>
      </c>
      <c r="EX3" s="12" t="s">
        <v>393</v>
      </c>
      <c r="EY3" s="12" t="s">
        <v>393</v>
      </c>
      <c r="EZ3" s="12" t="s">
        <v>393</v>
      </c>
      <c r="FA3" s="12" t="s">
        <v>393</v>
      </c>
      <c r="FB3" s="12" t="s">
        <v>393</v>
      </c>
      <c r="FC3" s="12" t="s">
        <v>393</v>
      </c>
      <c r="FD3" s="12" t="s">
        <v>393</v>
      </c>
      <c r="FE3" s="12" t="s">
        <v>393</v>
      </c>
      <c r="FF3" s="12" t="s">
        <v>393</v>
      </c>
      <c r="FG3" s="12" t="s">
        <v>393</v>
      </c>
      <c r="FH3" s="12" t="s">
        <v>393</v>
      </c>
      <c r="FI3" s="12" t="s">
        <v>393</v>
      </c>
      <c r="FJ3" s="12" t="s">
        <v>393</v>
      </c>
      <c r="FK3" s="12" t="s">
        <v>393</v>
      </c>
      <c r="FL3" s="12" t="s">
        <v>393</v>
      </c>
      <c r="FM3" s="12" t="s">
        <v>393</v>
      </c>
      <c r="FN3" s="12" t="s">
        <v>393</v>
      </c>
      <c r="FO3" s="12" t="s">
        <v>393</v>
      </c>
      <c r="FP3" s="12" t="s">
        <v>393</v>
      </c>
      <c r="FQ3" s="12" t="s">
        <v>393</v>
      </c>
      <c r="FR3" s="12" t="s">
        <v>393</v>
      </c>
      <c r="FS3" s="12" t="s">
        <v>393</v>
      </c>
      <c r="FT3" s="12" t="s">
        <v>393</v>
      </c>
      <c r="FU3" s="12" t="s">
        <v>393</v>
      </c>
      <c r="FV3" s="13" t="s">
        <v>397</v>
      </c>
      <c r="FW3" s="13" t="s">
        <v>400</v>
      </c>
      <c r="FX3" s="13" t="s">
        <v>403</v>
      </c>
      <c r="FY3" s="13" t="s">
        <v>406</v>
      </c>
      <c r="FZ3" s="13" t="s">
        <v>409</v>
      </c>
      <c r="GA3" s="13" t="s">
        <v>412</v>
      </c>
      <c r="GB3" s="13" t="s">
        <v>415</v>
      </c>
      <c r="GC3" s="13" t="s">
        <v>418</v>
      </c>
      <c r="GD3" s="13" t="s">
        <v>421</v>
      </c>
      <c r="GE3" s="13" t="s">
        <v>424</v>
      </c>
      <c r="GF3" s="13" t="s">
        <v>427</v>
      </c>
      <c r="GG3" s="13" t="s">
        <v>430</v>
      </c>
    </row>
    <row r="4" spans="1:189">
      <c r="A4" t="s">
        <v>15</v>
      </c>
      <c r="B4" t="s">
        <v>172</v>
      </c>
      <c r="C4">
        <v>30</v>
      </c>
      <c r="D4">
        <v>1</v>
      </c>
      <c r="E4" s="14">
        <f>SUM('Entity Inputs'!E4,'Entity Inputs'!E10)</f>
        <v>4320.0</v>
      </c>
      <c r="F4" s="14">
        <f>SUM('Entity Inputs'!F4,'Entity Inputs'!F10)</f>
        <v>4284.0</v>
      </c>
      <c r="G4" s="14">
        <f>SUM('Entity Inputs'!G4,'Entity Inputs'!G10)</f>
        <v>4113.5</v>
      </c>
      <c r="H4" s="14">
        <f>SUM('Entity Inputs'!H4,'Entity Inputs'!H10)</f>
        <v>103.9</v>
      </c>
      <c r="I4" s="14">
        <f>SUM('Entity Inputs'!I4,'Entity Inputs'!I10)</f>
        <v>743065.0</v>
      </c>
      <c r="J4" s="14">
        <f>SUM('Entity Inputs'!J4,'Entity Inputs'!J10)</f>
        <v>749808.0</v>
      </c>
      <c r="K4" s="14">
        <f>SUM('Entity Inputs'!K4,'Entity Inputs'!K10)</f>
        <v>654253.0</v>
      </c>
      <c r="L4" s="14">
        <f>SUM('Entity Inputs'!L4,'Entity Inputs'!L10)</f>
        <v>650517.0</v>
      </c>
      <c r="M4" s="14">
        <f>SUM('Entity Inputs'!M4,'Entity Inputs'!M10)</f>
        <v>629656.0</v>
      </c>
      <c r="N4" s="14">
        <f>SUM('Entity Inputs'!N4,'Entity Inputs'!N10)</f>
        <v>695737.0</v>
      </c>
      <c r="O4" s="14">
        <f>SUM('Entity Inputs'!O4,'Entity Inputs'!O10)</f>
        <v>151630.0</v>
      </c>
      <c r="P4" s="14">
        <f>SUM('Entity Inputs'!P4,'Entity Inputs'!P10)</f>
        <v>131905.0</v>
      </c>
      <c r="Q4" s="14">
        <f>SUM('Entity Inputs'!Q4,'Entity Inputs'!Q10)</f>
        <v>18729.0</v>
      </c>
      <c r="R4" s="14">
        <f>SUM('Entity Inputs'!R4,'Entity Inputs'!R10)</f>
        <v>14.0</v>
      </c>
      <c r="S4" s="14">
        <f>SUM('Entity Inputs'!S4,'Entity Inputs'!S10)</f>
        <v>71.10000000000001</v>
      </c>
      <c r="T4" s="14">
        <f>SUM('Entity Inputs'!T4,'Entity Inputs'!T10)</f>
        <v>260.0</v>
      </c>
      <c r="U4" s="14">
        <f>SUM('Entity Inputs'!U4,'Entity Inputs'!U10)</f>
        <v>243.0</v>
      </c>
      <c r="V4" s="14">
        <f>SUM('Entity Inputs'!V4,'Entity Inputs'!V10)</f>
        <v>1911388.7000000002</v>
      </c>
      <c r="W4" s="14">
        <f>SUM('Entity Inputs'!W4,'Entity Inputs'!W10)</f>
        <v>490330.5</v>
      </c>
      <c r="X4" s="14">
        <f>SUM('Entity Inputs'!X4,'Entity Inputs'!X10)</f>
        <v>7002.5</v>
      </c>
      <c r="Y4" s="14">
        <f>SUM('Entity Inputs'!Y4,'Entity Inputs'!Y10)</f>
        <v>1352732.0</v>
      </c>
      <c r="Z4" s="14">
        <f>SUM('Entity Inputs'!Z4,'Entity Inputs'!Z10)</f>
        <v>425627.0</v>
      </c>
      <c r="AA4" s="14">
        <f>SUM('Entity Inputs'!AA4,'Entity Inputs'!AA10)</f>
        <v>2122206.0</v>
      </c>
      <c r="AB4" s="14">
        <f>SUM('Entity Inputs'!AB4,'Entity Inputs'!AB10)</f>
        <v>28497.0</v>
      </c>
      <c r="AC4" s="14">
        <f>SUM('Entity Inputs'!AC4,'Entity Inputs'!AC10)</f>
        <v>8.0</v>
      </c>
      <c r="AD4" s="14">
        <f>SUM('Entity Inputs'!AD4,'Entity Inputs'!AD10)</f>
        <v>459000.0</v>
      </c>
      <c r="AE4" s="14">
        <f>SUM('Entity Inputs'!AE4,'Entity Inputs'!AE10)</f>
        <v>2.0</v>
      </c>
      <c r="AF4" s="14">
        <f>SUM('Entity Inputs'!AF4,'Entity Inputs'!AF10)</f>
        <v>1.0</v>
      </c>
      <c r="AG4" s="14">
        <f>SUM('Entity Inputs'!AG4,'Entity Inputs'!AG10)</f>
        <v>39.0</v>
      </c>
      <c r="AH4" s="14">
        <f>SUM('Entity Inputs'!AH4,'Entity Inputs'!AH10)</f>
        <v>0.0</v>
      </c>
      <c r="AI4" s="14">
        <f>SUM('Entity Inputs'!AI4,'Entity Inputs'!AI10)</f>
        <v>2.0</v>
      </c>
      <c r="AJ4" s="14">
        <f>SUM('Entity Inputs'!AJ4,'Entity Inputs'!AJ10)</f>
        <v>1.0</v>
      </c>
      <c r="AK4" s="14">
        <f>SUM('Entity Inputs'!AK4,'Entity Inputs'!AK10)</f>
        <v>60.0</v>
      </c>
      <c r="AL4" s="14">
        <f>SUM('Entity Inputs'!AL4,'Entity Inputs'!AL10)</f>
        <v>12.0</v>
      </c>
      <c r="AM4" s="14">
        <f>SUM('Entity Inputs'!AM4,'Entity Inputs'!AM10)</f>
        <v>9.0</v>
      </c>
      <c r="AN4" s="14">
        <f>SUM('Entity Inputs'!AN4,'Entity Inputs'!AN10)</f>
        <v>6.0</v>
      </c>
      <c r="AO4" s="14">
        <f>SUM('Entity Inputs'!AO4,'Entity Inputs'!AO10)</f>
        <v>3.0</v>
      </c>
      <c r="AP4" s="14">
        <f>SUM('Entity Inputs'!AP4,'Entity Inputs'!AP10)</f>
        <v>1036.0</v>
      </c>
      <c r="AQ4" s="14">
        <f>SUM('Entity Inputs'!AQ4,'Entity Inputs'!AQ10)</f>
        <v>62.0</v>
      </c>
      <c r="AR4" s="14">
        <f>MIN('Entity Inputs'!AR4,'Entity Inputs'!AR10)</f>
        <v>215</v>
      </c>
      <c r="AS4" s="14">
        <f>SUM('Entity Inputs'!AS4,'Entity Inputs'!AS10)</f>
        <v>625586.0</v>
      </c>
      <c r="AT4" s="14">
        <f>SUM('Entity Inputs'!AT4,'Entity Inputs'!AT10)</f>
        <v>656098.0</v>
      </c>
      <c r="AU4" s="14">
        <f>SUM('Entity Inputs'!AU4,'Entity Inputs'!AU10)</f>
        <v>2349263.5</v>
      </c>
      <c r="AV4" s="14">
        <f>SUM('Entity Inputs'!AV4,'Entity Inputs'!AV10)</f>
        <v>2466928.5</v>
      </c>
      <c r="AW4" s="14">
        <f>SUM('Entity Inputs'!AW4,'Entity Inputs'!AW10)</f>
        <v>117629.1</v>
      </c>
      <c r="AX4" s="14">
        <f>SUM('Entity Inputs'!AX4,'Entity Inputs'!AX10)</f>
        <v>89279.3</v>
      </c>
      <c r="AY4" s="14">
        <f>SUM('Entity Inputs'!AY4,'Entity Inputs'!AY10)</f>
        <v>1305.0</v>
      </c>
      <c r="AZ4" s="14">
        <f>SUM('Entity Inputs'!AZ4,'Entity Inputs'!AZ10)</f>
        <v>1189.0</v>
      </c>
      <c r="BA4" s="14">
        <f>SUM('Entity Inputs'!BA4,'Entity Inputs'!BA10)</f>
        <v>690449.0</v>
      </c>
      <c r="BB4" s="14">
        <f>SUM('Entity Inputs'!BB4,'Entity Inputs'!BB10)</f>
        <v>662572.0</v>
      </c>
      <c r="BC4" s="14">
        <f>SUM('Entity Inputs'!BC4,'Entity Inputs'!BC10)</f>
        <v>7872.0</v>
      </c>
      <c r="BD4" s="14">
        <f>SUM('Entity Inputs'!BD4,'Entity Inputs'!BD10)</f>
        <v>4634.0</v>
      </c>
      <c r="BE4" s="14">
        <f>SUM('Entity Inputs'!BE4,'Entity Inputs'!BE10)</f>
        <v>4879.0</v>
      </c>
      <c r="BF4" s="14">
        <f>SUM('Entity Inputs'!BF4,'Entity Inputs'!BF10)</f>
        <v>1067130.0</v>
      </c>
      <c r="BG4" s="14">
        <f>SUM('Entity Inputs'!BG4,'Entity Inputs'!BG10)</f>
        <v>368852.6</v>
      </c>
      <c r="BH4" s="14">
        <f>SUM('Entity Inputs'!BH4,'Entity Inputs'!BH10)</f>
        <v>0.0</v>
      </c>
      <c r="BI4" s="14">
        <f>SUM('Entity Inputs'!BI4,'Entity Inputs'!BI10)</f>
        <v>3.0</v>
      </c>
      <c r="BJ4" s="14">
        <f>SUM('Entity Inputs'!BJ4,'Entity Inputs'!BJ10)</f>
        <v>2.0</v>
      </c>
      <c r="BK4" s="14">
        <f>SUM('Entity Inputs'!BK4,'Entity Inputs'!BK10)</f>
        <v>3.0</v>
      </c>
      <c r="BL4" s="14">
        <f>SUM('Entity Inputs'!BL4,'Entity Inputs'!BL10)</f>
        <v>4.0</v>
      </c>
      <c r="BM4" s="14">
        <f>SUM('Entity Inputs'!BM4,'Entity Inputs'!BM10)</f>
        <v>0.0</v>
      </c>
      <c r="BN4" s="14">
        <f>SUM('Entity Inputs'!BN4,'Entity Inputs'!BN10)</f>
        <v>0.0</v>
      </c>
      <c r="BO4" s="14">
        <f>SUM('Entity Inputs'!BO4,'Entity Inputs'!BO10)</f>
        <v>0.0</v>
      </c>
      <c r="BP4" s="14">
        <f>SUM('Entity Inputs'!BP4,'Entity Inputs'!BP10)</f>
        <v>0.0</v>
      </c>
      <c r="BQ4" s="14">
        <f>SUM('Entity Inputs'!BQ4,'Entity Inputs'!BQ10)</f>
        <v>0.0</v>
      </c>
      <c r="BR4" s="14">
        <f>SUM('Entity Inputs'!BR4,'Entity Inputs'!BR10)</f>
        <v>0.0</v>
      </c>
      <c r="BS4" s="14">
        <f>MIN('Entity Inputs'!BS4,'Entity Inputs'!BS10)</f>
        <v>17</v>
      </c>
      <c r="BT4" s="14">
        <f>SUM('Entity Inputs'!BT4,'Entity Inputs'!BT10)</f>
        <v>660395.0</v>
      </c>
      <c r="BU4" s="14">
        <f>SUM('Entity Inputs'!BU4,'Entity Inputs'!BU10)</f>
        <v>653965.0</v>
      </c>
      <c r="BV4" s="14">
        <f>SUM('Entity Inputs'!BV4,'Entity Inputs'!BV10)</f>
        <v>282244117.0</v>
      </c>
      <c r="BW4" s="14">
        <f>SUM('Entity Inputs'!BW4,'Entity Inputs'!BW10)</f>
        <v>743065.0</v>
      </c>
      <c r="BX4" s="14">
        <f>SUM('Entity Inputs'!BX4,'Entity Inputs'!BX10)</f>
        <v>19207.0</v>
      </c>
      <c r="BY4" s="14">
        <f>SUM('Entity Inputs'!BY4,'Entity Inputs'!BY10)</f>
        <v>108909.2</v>
      </c>
      <c r="BZ4" s="14">
        <f>SUM('Entity Inputs'!BZ4,'Entity Inputs'!BZ10)</f>
        <v>65760.6</v>
      </c>
      <c r="CA4" s="14">
        <f>SUM('Entity Inputs'!CA4,'Entity Inputs'!CA10)</f>
        <v>20800000.0</v>
      </c>
      <c r="CB4" s="14">
        <f>SUM('Entity Inputs'!CB4,'Entity Inputs'!CB10)</f>
        <v>9099113.7</v>
      </c>
      <c r="CC4" s="14">
        <f>SUM('Entity Inputs'!CC4,'Entity Inputs'!CC10)</f>
        <v>2099113.7</v>
      </c>
      <c r="CD4" s="14">
        <f>SUM('Entity Inputs'!CD4,'Entity Inputs'!CD10)</f>
        <v>903397.0</v>
      </c>
      <c r="CE4" s="14">
        <f>SUM('Entity Inputs'!CE4,'Entity Inputs'!CE10)</f>
        <v>73500.0</v>
      </c>
      <c r="CF4" s="14">
        <f>SUM('Entity Inputs'!CF4,'Entity Inputs'!CF10)</f>
        <v>844304.7</v>
      </c>
      <c r="CG4" s="14">
        <f>SUM('Entity Inputs'!CG4,'Entity Inputs'!CG10)</f>
        <v>2721454.3</v>
      </c>
      <c r="CH4" s="14">
        <f>SUM('Entity Inputs'!CH4,'Entity Inputs'!CH10)</f>
        <v>322240.0</v>
      </c>
      <c r="CI4" s="14">
        <f>SUM('Entity Inputs'!CI4,'Entity Inputs'!CI10)</f>
        <v>2327623.3</v>
      </c>
      <c r="CJ4" s="14">
        <f>SUM('Entity Inputs'!CJ4,'Entity Inputs'!CJ10)</f>
        <v>3692917.2</v>
      </c>
      <c r="CK4" s="14">
        <f>SUM('Entity Inputs'!CK4,'Entity Inputs'!CK10)</f>
        <v>3209413.1</v>
      </c>
      <c r="CL4" s="14">
        <f>SUM('Entity Inputs'!CL4,'Entity Inputs'!CL10)</f>
        <v>2429077.6</v>
      </c>
      <c r="CM4" s="14">
        <f>SUM('Entity Inputs'!CM4,'Entity Inputs'!CM10)</f>
        <v>2310535.9000000004</v>
      </c>
      <c r="CN4" s="14">
        <f>SUM('Entity Inputs'!CN4,'Entity Inputs'!CN10)</f>
        <v>3826.3</v>
      </c>
      <c r="CO4" s="14">
        <f>SUM('Entity Inputs'!CO4,'Entity Inputs'!CO10)</f>
        <v>186096.0</v>
      </c>
      <c r="CP4" s="14">
        <f>SUM('Entity Inputs'!CP4,'Entity Inputs'!CP10)</f>
        <v>186096.0</v>
      </c>
      <c r="CQ4" s="14">
        <f>SUM('Entity Inputs'!CQ4,'Entity Inputs'!CQ10)</f>
        <v>792.0</v>
      </c>
      <c r="CR4" s="14">
        <f>SUM('Entity Inputs'!CR4,'Entity Inputs'!CR10)</f>
        <v>35769.0</v>
      </c>
      <c r="CS4" s="14">
        <f>SUM('Entity Inputs'!CS4,'Entity Inputs'!CS10)</f>
        <v>35640.0</v>
      </c>
      <c r="CT4" s="14">
        <f>SUM('Entity Inputs'!CT4,'Entity Inputs'!CT10)</f>
        <v>0.0</v>
      </c>
      <c r="CU4" s="14">
        <f>SUM('Entity Inputs'!CU4,'Entity Inputs'!CU10)</f>
        <v>1921445.4</v>
      </c>
      <c r="CV4" s="14">
        <f>SUM('Entity Inputs'!CV4,'Entity Inputs'!CV10)</f>
        <v>1942564.4</v>
      </c>
      <c r="CW4" s="14">
        <f>SUM('Entity Inputs'!CW4,'Entity Inputs'!CW10)</f>
        <v>338667.9</v>
      </c>
      <c r="CX4" s="14">
        <f>SUM('Entity Inputs'!CX4,'Entity Inputs'!CX10)</f>
        <v>6928217.3</v>
      </c>
      <c r="CY4" s="14">
        <f>SUM('Entity Inputs'!CY4,'Entity Inputs'!CY10)</f>
        <v>3776934.5</v>
      </c>
      <c r="CZ4" s="14">
        <f>SUM('Entity Inputs'!CZ4,'Entity Inputs'!CZ10)</f>
        <v>724158.6</v>
      </c>
      <c r="DA4" s="14">
        <f>SUM('Entity Inputs'!DA4,'Entity Inputs'!DA10)</f>
        <v>533367.2</v>
      </c>
      <c r="DB4" s="14">
        <f>SUM('Entity Inputs'!DB4,'Entity Inputs'!DB10)</f>
        <v>573842.5</v>
      </c>
      <c r="DC4" s="14">
        <f>SUM('Entity Inputs'!DC4,'Entity Inputs'!DC10)</f>
        <v>420775.9</v>
      </c>
      <c r="DD4" s="14">
        <f>SUM('Entity Inputs'!DD4,'Entity Inputs'!DD10)</f>
        <v>10219.3</v>
      </c>
      <c r="DE4" s="14">
        <f>SUM('Entity Inputs'!DE4,'Entity Inputs'!DE10)</f>
        <v>11471.2</v>
      </c>
      <c r="DF4" s="14">
        <f>SUM('Entity Inputs'!DF4,'Entity Inputs'!DF10)</f>
        <v>4336408.2</v>
      </c>
      <c r="DG4" s="14">
        <f>SUM('Entity Inputs'!DG4,'Entity Inputs'!DG10)</f>
        <v>3045059.9000000004</v>
      </c>
      <c r="DH4" s="14">
        <f>SUM('Entity Inputs'!DH4,'Entity Inputs'!DH10)</f>
        <v>1860000.0</v>
      </c>
      <c r="DI4" s="14">
        <f>SUM('Entity Inputs'!DI4,'Entity Inputs'!DI10)</f>
        <v>838529.3</v>
      </c>
      <c r="DJ4" s="14">
        <f>SUM('Entity Inputs'!DJ4,'Entity Inputs'!DJ10)</f>
        <v>146556.6</v>
      </c>
      <c r="DK4" s="14">
        <f>SUM('Entity Inputs'!DK4,'Entity Inputs'!DK10)</f>
        <v>706800.0</v>
      </c>
      <c r="DL4" s="14">
        <f>SUM('Entity Inputs'!DL4,'Entity Inputs'!DL10)</f>
        <v>139237.5</v>
      </c>
      <c r="DM4" s="14">
        <f>SUM('Entity Inputs'!DM4,'Entity Inputs'!DM10)</f>
        <v>9.0</v>
      </c>
      <c r="DN4" s="14">
        <f>SUM('Entity Inputs'!DN4,'Entity Inputs'!DN10)</f>
        <v>2.0</v>
      </c>
      <c r="DO4" s="14">
        <f>SUM('Entity Inputs'!DO4,'Entity Inputs'!DO10)</f>
        <v>0.0</v>
      </c>
      <c r="DP4" s="14">
        <f>SUM('Entity Inputs'!DP4,'Entity Inputs'!DP10)</f>
        <v>0.0</v>
      </c>
      <c r="DQ4" s="14">
        <f>SUM('Entity Inputs'!DQ4,'Entity Inputs'!DQ10)</f>
        <v>11.0</v>
      </c>
      <c r="DR4" s="14">
        <f>SUM('Entity Inputs'!DR4,'Entity Inputs'!DR10)</f>
        <v>26.0</v>
      </c>
      <c r="DS4" s="14">
        <f>SUM('Entity Inputs'!DS4,'Entity Inputs'!DS10)</f>
        <v>15.0</v>
      </c>
      <c r="DT4" s="14">
        <f>SUM('Entity Inputs'!DT4,'Entity Inputs'!DT10)</f>
        <v>6.0</v>
      </c>
      <c r="DU4" s="14">
        <f>SUM('Entity Inputs'!DU4,'Entity Inputs'!DU10)</f>
        <v>3.0</v>
      </c>
      <c r="DV4" s="14">
        <f>SUM('Entity Inputs'!DV4,'Entity Inputs'!DV10)</f>
        <v>124.0</v>
      </c>
      <c r="DW4" s="14">
        <f>SUM('Entity Inputs'!DW4,'Entity Inputs'!DW10)</f>
        <v>37.0</v>
      </c>
      <c r="DX4" s="14">
        <f>SUM('Entity Inputs'!DX4,'Entity Inputs'!DX10)</f>
        <v>13965.5</v>
      </c>
      <c r="DY4" s="14">
        <f>SUM('Entity Inputs'!DY4,'Entity Inputs'!DY10)</f>
        <v>6521.1</v>
      </c>
      <c r="DZ4" s="14">
        <f>SUM('Entity Inputs'!DZ4,'Entity Inputs'!DZ10)</f>
        <v>2363.8</v>
      </c>
      <c r="EA4" s="14">
        <f>SUM('Entity Inputs'!EA4,'Entity Inputs'!EA10)</f>
        <v>1443.8999999999999</v>
      </c>
      <c r="EB4" s="14">
        <f>SUM('Entity Inputs'!EB4,'Entity Inputs'!EB10)</f>
        <v>1773.9</v>
      </c>
      <c r="EC4" s="14">
        <f>SUM('Entity Inputs'!EC4,'Entity Inputs'!EC10)</f>
        <v>140.0</v>
      </c>
      <c r="ED4" s="14">
        <f>SUM('Entity Inputs'!ED4,'Entity Inputs'!ED10)</f>
        <v>135.0</v>
      </c>
      <c r="EE4" s="14">
        <f>SUM('Entity Inputs'!EE4,'Entity Inputs'!EE10)</f>
        <v>3.0</v>
      </c>
      <c r="EF4" s="14">
        <f>SUM('Entity Inputs'!EF4,'Entity Inputs'!EF10)</f>
        <v>1.0</v>
      </c>
      <c r="EG4" s="14">
        <f>SUM('Entity Inputs'!EG4,'Entity Inputs'!EG10)</f>
        <v>3.0</v>
      </c>
      <c r="EH4" s="14">
        <f>SUM('Entity Inputs'!EH4,'Entity Inputs'!EH10)</f>
        <v>1.0</v>
      </c>
      <c r="EI4" s="14">
        <f>SUM('Entity Inputs'!EI4,'Entity Inputs'!EI10)</f>
        <v>0.0</v>
      </c>
      <c r="EJ4" s="14">
        <f>SUM('Entity Inputs'!EJ4,'Entity Inputs'!EJ10)</f>
        <v>2.0</v>
      </c>
      <c r="EK4" s="14">
        <f>SUM('Entity Inputs'!EK4,'Entity Inputs'!EK10)</f>
        <v>2.0</v>
      </c>
      <c r="EL4" s="14">
        <f>SUM('Entity Inputs'!EL4,'Entity Inputs'!EL10)</f>
        <v>0.0</v>
      </c>
      <c r="EM4" s="14">
        <f>SUM('Entity Inputs'!EM4,'Entity Inputs'!EM10)</f>
        <v>0.0</v>
      </c>
      <c r="EN4" s="14">
        <f>SUM('Entity Inputs'!EN4,'Entity Inputs'!EN10)</f>
        <v>0.0</v>
      </c>
      <c r="EO4" s="14">
        <f>SUM('Entity Inputs'!EO4,'Entity Inputs'!EO10)</f>
        <v>0.0</v>
      </c>
      <c r="EP4" s="14">
        <f>SUM('Entity Inputs'!EP4,'Entity Inputs'!EP10)</f>
        <v>0.0</v>
      </c>
      <c r="EQ4" s="14">
        <f>SUM('Entity Inputs'!EQ4,'Entity Inputs'!EQ10)</f>
        <v>1.0</v>
      </c>
      <c r="ER4" s="14">
        <f>SUM('Entity Inputs'!ER4,'Entity Inputs'!ER10)</f>
        <v>1.0</v>
      </c>
      <c r="ES4" s="14">
        <f>SUM('Entity Inputs'!ES4,'Entity Inputs'!ES10)</f>
        <v>0.0</v>
      </c>
      <c r="ET4" s="14">
        <f>SUM('Entity Inputs'!ET4,'Entity Inputs'!ET10)</f>
        <v>1.0</v>
      </c>
      <c r="EU4" s="14">
        <f>SUM('Entity Inputs'!EU4,'Entity Inputs'!EU10)</f>
        <v>8.0</v>
      </c>
      <c r="EV4" s="14">
        <f>SUM('Entity Inputs'!EV4,'Entity Inputs'!EV10)</f>
        <v>0.0</v>
      </c>
      <c r="EW4" s="14">
        <f>SUM('Entity Inputs'!EW4,'Entity Inputs'!EW10)</f>
        <v>1.0</v>
      </c>
      <c r="EX4" s="14">
        <f>SUM('Entity Inputs'!EX4,'Entity Inputs'!EX10)</f>
        <v>1.0</v>
      </c>
      <c r="EY4" s="14">
        <f>SUM('Entity Inputs'!EY4,'Entity Inputs'!EY10)</f>
        <v>108.0</v>
      </c>
      <c r="EZ4" s="14">
        <f>SUM('Entity Inputs'!EZ4,'Entity Inputs'!EZ10)</f>
        <v>95.0</v>
      </c>
      <c r="FA4" s="14">
        <f>SUM('Entity Inputs'!FA4,'Entity Inputs'!FA10)</f>
        <v>5.0</v>
      </c>
      <c r="FB4" s="14">
        <f>SUM('Entity Inputs'!FB4,'Entity Inputs'!FB10)</f>
        <v>166.0</v>
      </c>
      <c r="FC4" s="14">
        <f>SUM('Entity Inputs'!FC4,'Entity Inputs'!FC10)</f>
        <v>56.0</v>
      </c>
      <c r="FD4" s="14">
        <f>SUM('Entity Inputs'!FD4,'Entity Inputs'!FD10)</f>
        <v>47.0</v>
      </c>
      <c r="FE4" s="14">
        <f>SUM('Entity Inputs'!FE4,'Entity Inputs'!FE10)</f>
        <v>52.0</v>
      </c>
      <c r="FF4" s="14">
        <f>SUM('Entity Inputs'!FF4,'Entity Inputs'!FF10)</f>
        <v>1.0</v>
      </c>
      <c r="FG4" s="14">
        <f>SUM('Entity Inputs'!FG4,'Entity Inputs'!FG10)</f>
        <v>1.0</v>
      </c>
      <c r="FH4" s="14">
        <f>SUM('Entity Inputs'!FH4,'Entity Inputs'!FH10)</f>
        <v>0.0</v>
      </c>
      <c r="FI4" s="14">
        <f>SUM('Entity Inputs'!FI4,'Entity Inputs'!FI10)</f>
        <v>997324.0</v>
      </c>
      <c r="FJ4" s="14">
        <f>SUM('Entity Inputs'!FJ4,'Entity Inputs'!FJ10)</f>
        <v>991798.0</v>
      </c>
      <c r="FK4" s="14">
        <f>SUM('Entity Inputs'!FK4,'Entity Inputs'!FK10)</f>
        <v>820.0</v>
      </c>
      <c r="FL4" s="14">
        <f>SUM('Entity Inputs'!FL4,'Entity Inputs'!FL10)</f>
        <v>794.0</v>
      </c>
      <c r="FM4" s="14">
        <f>SUM('Entity Inputs'!FM4,'Entity Inputs'!FM10)</f>
        <v>0.0</v>
      </c>
      <c r="FN4" s="14">
        <f>SUM('Entity Inputs'!FN4,'Entity Inputs'!FN10)</f>
        <v>0.0</v>
      </c>
      <c r="FO4" s="14">
        <f>SUM('Entity Inputs'!FO4,'Entity Inputs'!FO10)</f>
        <v>0.0</v>
      </c>
      <c r="FP4" s="14">
        <f>SUM('Entity Inputs'!FP4,'Entity Inputs'!FP10)</f>
        <v>12.0</v>
      </c>
      <c r="FQ4" s="14">
        <f>SUM('Entity Inputs'!FQ4,'Entity Inputs'!FQ10)</f>
        <v>30.700000000000003</v>
      </c>
      <c r="FR4" s="14">
        <f>SUM('Entity Inputs'!FR4,'Entity Inputs'!FR10)</f>
        <v>12.0</v>
      </c>
      <c r="FS4" s="14">
        <f>SUM('Entity Inputs'!FS4,'Entity Inputs'!FS10)</f>
        <v>0.0</v>
      </c>
      <c r="FT4" s="14">
        <f>SUM('Entity Inputs'!FT4,'Entity Inputs'!FT10)</f>
        <v>1.0</v>
      </c>
      <c r="FU4" s="14">
        <f>SUM('Entity Inputs'!FU4,'Entity Inputs'!FU10)</f>
        <v>1.0</v>
      </c>
      <c r="FV4" s="15">
        <f>AU4-V4-X4-BY4</f>
        <v>321963.0999999998</v>
      </c>
      <c r="FW4" s="15">
        <f>FV4-AX4</f>
        <v>232683.7999999998</v>
      </c>
      <c r="FX4" s="15">
        <f>CJ4+CL4-CK4</f>
        <v>2912581.7000000007</v>
      </c>
      <c r="FY4" s="15">
        <f>FX4-Parameters!$B$7</f>
        <v>43688.70000000065</v>
      </c>
      <c r="FZ4" s="15">
        <f>FV4-BZ4-FY4</f>
        <v>212513.79999999914</v>
      </c>
      <c r="GA4" s="15">
        <f>FZ4-DJ4</f>
        <v>65957.19999999914</v>
      </c>
      <c r="GB4" s="15">
        <f>CB4-CC4</f>
        <v>6999999.999999999</v>
      </c>
      <c r="GC4" s="15">
        <f>SUM(FV$4:FV4)*12/D4</f>
        <v>3863557.1999999974</v>
      </c>
      <c r="GD4" s="15">
        <f>IF(AU4=0,0,CJ4/AU4*C4)</f>
        <v>47.15840347411008</v>
      </c>
      <c r="GE4" s="15">
        <f>IF(V4=0,0,CK4/V4*C4)</f>
        <v>50.373005239593596</v>
      </c>
      <c r="GF4" s="15">
        <f>IF(V4=0,0,CL4/V4*C4)</f>
        <v>38.12533159791098</v>
      </c>
      <c r="GG4" s="15">
        <f>IF(OR(AS4=0,AT4=0,AV4=0),0,100*((AU4/AS4)/(AV4/AT4)-1))</f>
        <v>-0.12498405095641152</v>
      </c>
    </row>
    <row r="5" spans="1:189">
      <c r="A5" t="s">
        <v>15</v>
      </c>
      <c r="B5" t="s">
        <v>173</v>
      </c>
      <c r="C5">
        <v>31</v>
      </c>
      <c r="D5">
        <v>2</v>
      </c>
      <c r="E5" s="14">
        <f>SUM('Entity Inputs'!E5,'Entity Inputs'!E11)</f>
        <v>4464.0</v>
      </c>
      <c r="F5" s="14">
        <f>SUM('Entity Inputs'!F5,'Entity Inputs'!F11)</f>
        <v>4205.0</v>
      </c>
      <c r="G5" s="14">
        <f>SUM('Entity Inputs'!G5,'Entity Inputs'!G11)</f>
        <v>3960.1000000000004</v>
      </c>
      <c r="H5" s="14">
        <f>SUM('Entity Inputs'!H5,'Entity Inputs'!H11)</f>
        <v>167.89999999999998</v>
      </c>
      <c r="I5" s="14">
        <f>SUM('Entity Inputs'!I5,'Entity Inputs'!I11)</f>
        <v>724257.0</v>
      </c>
      <c r="J5" s="14">
        <f>SUM('Entity Inputs'!J5,'Entity Inputs'!J11)</f>
        <v>774802.0</v>
      </c>
      <c r="K5" s="14">
        <f>SUM('Entity Inputs'!K5,'Entity Inputs'!K11)</f>
        <v>644875.0</v>
      </c>
      <c r="L5" s="14">
        <f>SUM('Entity Inputs'!L5,'Entity Inputs'!L11)</f>
        <v>610774.0</v>
      </c>
      <c r="M5" s="14">
        <f>SUM('Entity Inputs'!M5,'Entity Inputs'!M11)</f>
        <v>590465.0</v>
      </c>
      <c r="N5" s="14">
        <f>SUM('Entity Inputs'!N5,'Entity Inputs'!N11)</f>
        <v>639407.0</v>
      </c>
      <c r="O5" s="14">
        <f>SUM('Entity Inputs'!O5,'Entity Inputs'!O11)</f>
        <v>123174.0</v>
      </c>
      <c r="P5" s="14">
        <f>SUM('Entity Inputs'!P5,'Entity Inputs'!P11)</f>
        <v>106051.0</v>
      </c>
      <c r="Q5" s="14">
        <f>SUM('Entity Inputs'!Q5,'Entity Inputs'!Q11)</f>
        <v>28641.0</v>
      </c>
      <c r="R5" s="14">
        <f>SUM('Entity Inputs'!R5,'Entity Inputs'!R11)</f>
        <v>21.0</v>
      </c>
      <c r="S5" s="14">
        <f>SUM('Entity Inputs'!S5,'Entity Inputs'!S11)</f>
        <v>129.4</v>
      </c>
      <c r="T5" s="14">
        <f>SUM('Entity Inputs'!T5,'Entity Inputs'!T11)</f>
        <v>275.0</v>
      </c>
      <c r="U5" s="14">
        <f>SUM('Entity Inputs'!U5,'Entity Inputs'!U11)</f>
        <v>255.0</v>
      </c>
      <c r="V5" s="14">
        <f>SUM('Entity Inputs'!V5,'Entity Inputs'!V11)</f>
        <v>1857317.9000000001</v>
      </c>
      <c r="W5" s="14">
        <f>SUM('Entity Inputs'!W5,'Entity Inputs'!W11)</f>
        <v>492350.2</v>
      </c>
      <c r="X5" s="14">
        <f>SUM('Entity Inputs'!X5,'Entity Inputs'!X11)</f>
        <v>8206.3</v>
      </c>
      <c r="Y5" s="14">
        <f>SUM('Entity Inputs'!Y5,'Entity Inputs'!Y11)</f>
        <v>1282066.0</v>
      </c>
      <c r="Z5" s="14">
        <f>SUM('Entity Inputs'!Z5,'Entity Inputs'!Z11)</f>
        <v>382393.0</v>
      </c>
      <c r="AA5" s="14">
        <f>SUM('Entity Inputs'!AA5,'Entity Inputs'!AA11)</f>
        <v>1878809.0</v>
      </c>
      <c r="AB5" s="14">
        <f>SUM('Entity Inputs'!AB5,'Entity Inputs'!AB11)</f>
        <v>55870.0</v>
      </c>
      <c r="AC5" s="14">
        <f>SUM('Entity Inputs'!AC5,'Entity Inputs'!AC11)</f>
        <v>6.0</v>
      </c>
      <c r="AD5" s="14">
        <f>SUM('Entity Inputs'!AD5,'Entity Inputs'!AD11)</f>
        <v>427000.0</v>
      </c>
      <c r="AE5" s="14">
        <f>SUM('Entity Inputs'!AE5,'Entity Inputs'!AE11)</f>
        <v>4.0</v>
      </c>
      <c r="AF5" s="14">
        <f>SUM('Entity Inputs'!AF5,'Entity Inputs'!AF11)</f>
        <v>1.0</v>
      </c>
      <c r="AG5" s="14">
        <f>SUM('Entity Inputs'!AG5,'Entity Inputs'!AG11)</f>
        <v>46.0</v>
      </c>
      <c r="AH5" s="14">
        <f>SUM('Entity Inputs'!AH5,'Entity Inputs'!AH11)</f>
        <v>1.0</v>
      </c>
      <c r="AI5" s="14">
        <f>SUM('Entity Inputs'!AI5,'Entity Inputs'!AI11)</f>
        <v>1.0</v>
      </c>
      <c r="AJ5" s="14">
        <f>SUM('Entity Inputs'!AJ5,'Entity Inputs'!AJ11)</f>
        <v>0.0</v>
      </c>
      <c r="AK5" s="14">
        <f>SUM('Entity Inputs'!AK5,'Entity Inputs'!AK11)</f>
        <v>58.0</v>
      </c>
      <c r="AL5" s="14">
        <f>SUM('Entity Inputs'!AL5,'Entity Inputs'!AL11)</f>
        <v>14.0</v>
      </c>
      <c r="AM5" s="14">
        <f>SUM('Entity Inputs'!AM5,'Entity Inputs'!AM11)</f>
        <v>8.0</v>
      </c>
      <c r="AN5" s="14">
        <f>SUM('Entity Inputs'!AN5,'Entity Inputs'!AN11)</f>
        <v>8.0</v>
      </c>
      <c r="AO5" s="14">
        <f>SUM('Entity Inputs'!AO5,'Entity Inputs'!AO11)</f>
        <v>3.0</v>
      </c>
      <c r="AP5" s="14">
        <f>SUM('Entity Inputs'!AP5,'Entity Inputs'!AP11)</f>
        <v>1159.0</v>
      </c>
      <c r="AQ5" s="14">
        <f>SUM('Entity Inputs'!AQ5,'Entity Inputs'!AQ11)</f>
        <v>82.0</v>
      </c>
      <c r="AR5" s="14">
        <f>MIN('Entity Inputs'!AR5,'Entity Inputs'!AR11)</f>
        <v>185</v>
      </c>
      <c r="AS5" s="14">
        <f>SUM('Entity Inputs'!AS5,'Entity Inputs'!AS11)</f>
        <v>590080.0</v>
      </c>
      <c r="AT5" s="14">
        <f>SUM('Entity Inputs'!AT5,'Entity Inputs'!AT11)</f>
        <v>643832.0</v>
      </c>
      <c r="AU5" s="14">
        <f>SUM('Entity Inputs'!AU5,'Entity Inputs'!AU11)</f>
        <v>2218839.1</v>
      </c>
      <c r="AV5" s="14">
        <f>SUM('Entity Inputs'!AV5,'Entity Inputs'!AV11)</f>
        <v>2420808.4000000004</v>
      </c>
      <c r="AW5" s="14">
        <f>SUM('Entity Inputs'!AW5,'Entity Inputs'!AW11)</f>
        <v>109717.90000000001</v>
      </c>
      <c r="AX5" s="14">
        <f>SUM('Entity Inputs'!AX5,'Entity Inputs'!AX11)</f>
        <v>87987.40000000001</v>
      </c>
      <c r="AY5" s="14">
        <f>SUM('Entity Inputs'!AY5,'Entity Inputs'!AY11)</f>
        <v>1277.0</v>
      </c>
      <c r="AZ5" s="14">
        <f>SUM('Entity Inputs'!AZ5,'Entity Inputs'!AZ11)</f>
        <v>1167.0</v>
      </c>
      <c r="BA5" s="14">
        <f>SUM('Entity Inputs'!BA5,'Entity Inputs'!BA11)</f>
        <v>635837.0</v>
      </c>
      <c r="BB5" s="14">
        <f>SUM('Entity Inputs'!BB5,'Entity Inputs'!BB11)</f>
        <v>607351.0</v>
      </c>
      <c r="BC5" s="14">
        <f>SUM('Entity Inputs'!BC5,'Entity Inputs'!BC11)</f>
        <v>5654.0</v>
      </c>
      <c r="BD5" s="14">
        <f>SUM('Entity Inputs'!BD5,'Entity Inputs'!BD11)</f>
        <v>4746.0</v>
      </c>
      <c r="BE5" s="14">
        <f>SUM('Entity Inputs'!BE5,'Entity Inputs'!BE11)</f>
        <v>4885.0</v>
      </c>
      <c r="BF5" s="14">
        <f>SUM('Entity Inputs'!BF5,'Entity Inputs'!BF11)</f>
        <v>1046558.0</v>
      </c>
      <c r="BG5" s="14">
        <f>SUM('Entity Inputs'!BG5,'Entity Inputs'!BG11)</f>
        <v>382358.80000000005</v>
      </c>
      <c r="BH5" s="14">
        <f>SUM('Entity Inputs'!BH5,'Entity Inputs'!BH11)</f>
        <v>0.0</v>
      </c>
      <c r="BI5" s="14">
        <f>SUM('Entity Inputs'!BI5,'Entity Inputs'!BI11)</f>
        <v>3.0</v>
      </c>
      <c r="BJ5" s="14">
        <f>SUM('Entity Inputs'!BJ5,'Entity Inputs'!BJ11)</f>
        <v>1.0</v>
      </c>
      <c r="BK5" s="14">
        <f>SUM('Entity Inputs'!BK5,'Entity Inputs'!BK11)</f>
        <v>1.0</v>
      </c>
      <c r="BL5" s="14">
        <f>SUM('Entity Inputs'!BL5,'Entity Inputs'!BL11)</f>
        <v>2.0</v>
      </c>
      <c r="BM5" s="14">
        <f>SUM('Entity Inputs'!BM5,'Entity Inputs'!BM11)</f>
        <v>0.0</v>
      </c>
      <c r="BN5" s="14">
        <f>SUM('Entity Inputs'!BN5,'Entity Inputs'!BN11)</f>
        <v>1.0</v>
      </c>
      <c r="BO5" s="14">
        <f>SUM('Entity Inputs'!BO5,'Entity Inputs'!BO11)</f>
        <v>0.0</v>
      </c>
      <c r="BP5" s="14">
        <f>SUM('Entity Inputs'!BP5,'Entity Inputs'!BP11)</f>
        <v>0.0</v>
      </c>
      <c r="BQ5" s="14">
        <f>SUM('Entity Inputs'!BQ5,'Entity Inputs'!BQ11)</f>
        <v>0.0</v>
      </c>
      <c r="BR5" s="14">
        <f>SUM('Entity Inputs'!BR5,'Entity Inputs'!BR11)</f>
        <v>0.0</v>
      </c>
      <c r="BS5" s="14">
        <f>MIN('Entity Inputs'!BS5,'Entity Inputs'!BS11)</f>
        <v>12</v>
      </c>
      <c r="BT5" s="14">
        <f>SUM('Entity Inputs'!BT5,'Entity Inputs'!BT11)</f>
        <v>649801.0</v>
      </c>
      <c r="BU5" s="14">
        <f>SUM('Entity Inputs'!BU5,'Entity Inputs'!BU11)</f>
        <v>645666.0</v>
      </c>
      <c r="BV5" s="14">
        <f>SUM('Entity Inputs'!BV5,'Entity Inputs'!BV11)</f>
        <v>272360559.0</v>
      </c>
      <c r="BW5" s="14">
        <f>SUM('Entity Inputs'!BW5,'Entity Inputs'!BW11)</f>
        <v>724257.0</v>
      </c>
      <c r="BX5" s="14">
        <f>SUM('Entity Inputs'!BX5,'Entity Inputs'!BX11)</f>
        <v>28018.0</v>
      </c>
      <c r="BY5" s="14">
        <f>SUM('Entity Inputs'!BY5,'Entity Inputs'!BY11)</f>
        <v>100755.3</v>
      </c>
      <c r="BZ5" s="14">
        <f>SUM('Entity Inputs'!BZ5,'Entity Inputs'!BZ11)</f>
        <v>54351.1</v>
      </c>
      <c r="CA5" s="14">
        <f>SUM('Entity Inputs'!CA5,'Entity Inputs'!CA11)</f>
        <v>20883200.0</v>
      </c>
      <c r="CB5" s="14">
        <f>SUM('Entity Inputs'!CB5,'Entity Inputs'!CB11)</f>
        <v>8947661.6</v>
      </c>
      <c r="CC5" s="14">
        <f>SUM('Entity Inputs'!CC5,'Entity Inputs'!CC11)</f>
        <v>2017661.6</v>
      </c>
      <c r="CD5" s="14">
        <f>SUM('Entity Inputs'!CD5,'Entity Inputs'!CD11)</f>
        <v>873410.3</v>
      </c>
      <c r="CE5" s="14">
        <f>SUM('Entity Inputs'!CE5,'Entity Inputs'!CE11)</f>
        <v>72765.0</v>
      </c>
      <c r="CF5" s="14">
        <f>SUM('Entity Inputs'!CF5,'Entity Inputs'!CF11)</f>
        <v>922918.1000000001</v>
      </c>
      <c r="CG5" s="14">
        <f>SUM('Entity Inputs'!CG5,'Entity Inputs'!CG11)</f>
        <v>2519257.7</v>
      </c>
      <c r="CH5" s="14">
        <f>SUM('Entity Inputs'!CH5,'Entity Inputs'!CH11)</f>
        <v>252242.0</v>
      </c>
      <c r="CI5" s="14">
        <f>SUM('Entity Inputs'!CI5,'Entity Inputs'!CI11)</f>
        <v>2211784.9000000004</v>
      </c>
      <c r="CJ5" s="14">
        <f>SUM('Entity Inputs'!CJ5,'Entity Inputs'!CJ11)</f>
        <v>3482516.3</v>
      </c>
      <c r="CK5" s="14">
        <f>SUM('Entity Inputs'!CK5,'Entity Inputs'!CK11)</f>
        <v>3062231.0</v>
      </c>
      <c r="CL5" s="14">
        <f>SUM('Entity Inputs'!CL5,'Entity Inputs'!CL11)</f>
        <v>2299712.9000000004</v>
      </c>
      <c r="CM5" s="14">
        <f>SUM('Entity Inputs'!CM5,'Entity Inputs'!CM11)</f>
        <v>2190667.8</v>
      </c>
      <c r="CN5" s="14">
        <f>SUM('Entity Inputs'!CN5,'Entity Inputs'!CN11)</f>
        <v>3664.4</v>
      </c>
      <c r="CO5" s="14">
        <f>SUM('Entity Inputs'!CO5,'Entity Inputs'!CO11)</f>
        <v>197350.9</v>
      </c>
      <c r="CP5" s="14">
        <f>SUM('Entity Inputs'!CP5,'Entity Inputs'!CP11)</f>
        <v>197350.9</v>
      </c>
      <c r="CQ5" s="14">
        <f>SUM('Entity Inputs'!CQ5,'Entity Inputs'!CQ11)</f>
        <v>734.0</v>
      </c>
      <c r="CR5" s="14">
        <f>SUM('Entity Inputs'!CR5,'Entity Inputs'!CR11)</f>
        <v>33025.0</v>
      </c>
      <c r="CS5" s="14">
        <f>SUM('Entity Inputs'!CS5,'Entity Inputs'!CS11)</f>
        <v>33030.0</v>
      </c>
      <c r="CT5" s="14">
        <f>SUM('Entity Inputs'!CT5,'Entity Inputs'!CT11)</f>
        <v>1.0</v>
      </c>
      <c r="CU5" s="14">
        <f>SUM('Entity Inputs'!CU5,'Entity Inputs'!CU11)</f>
        <v>1501487.5</v>
      </c>
      <c r="CV5" s="14">
        <f>SUM('Entity Inputs'!CV5,'Entity Inputs'!CV11)</f>
        <v>1522247.4</v>
      </c>
      <c r="CW5" s="14">
        <f>SUM('Entity Inputs'!CW5,'Entity Inputs'!CW11)</f>
        <v>260668.8</v>
      </c>
      <c r="CX5" s="14">
        <f>SUM('Entity Inputs'!CX5,'Entity Inputs'!CX11)</f>
        <v>6880788.0</v>
      </c>
      <c r="CY5" s="14">
        <f>SUM('Entity Inputs'!CY5,'Entity Inputs'!CY11)</f>
        <v>2961852.0</v>
      </c>
      <c r="CZ5" s="14">
        <f>SUM('Entity Inputs'!CZ5,'Entity Inputs'!CZ11)</f>
        <v>715308.8</v>
      </c>
      <c r="DA5" s="14">
        <f>SUM('Entity Inputs'!DA5,'Entity Inputs'!DA11)</f>
        <v>507809.10000000003</v>
      </c>
      <c r="DB5" s="14">
        <f>SUM('Entity Inputs'!DB5,'Entity Inputs'!DB11)</f>
        <v>581147.2</v>
      </c>
      <c r="DC5" s="14">
        <f>SUM('Entity Inputs'!DC5,'Entity Inputs'!DC11)</f>
        <v>410679.9</v>
      </c>
      <c r="DD5" s="14">
        <f>SUM('Entity Inputs'!DD5,'Entity Inputs'!DD11)</f>
        <v>7958.8</v>
      </c>
      <c r="DE5" s="14">
        <f>SUM('Entity Inputs'!DE5,'Entity Inputs'!DE11)</f>
        <v>8601.6</v>
      </c>
      <c r="DF5" s="14">
        <f>SUM('Entity Inputs'!DF5,'Entity Inputs'!DF11)</f>
        <v>4305420.8</v>
      </c>
      <c r="DG5" s="14">
        <f>SUM('Entity Inputs'!DG5,'Entity Inputs'!DG11)</f>
        <v>3061203.8</v>
      </c>
      <c r="DH5" s="14">
        <f>SUM('Entity Inputs'!DH5,'Entity Inputs'!DH11)</f>
        <v>1860000.0</v>
      </c>
      <c r="DI5" s="14">
        <f>SUM('Entity Inputs'!DI5,'Entity Inputs'!DI11)</f>
        <v>933323.1000000001</v>
      </c>
      <c r="DJ5" s="14">
        <f>SUM('Entity Inputs'!DJ5,'Entity Inputs'!DJ11)</f>
        <v>145067.40000000002</v>
      </c>
      <c r="DK5" s="14">
        <f>SUM('Entity Inputs'!DK5,'Entity Inputs'!DK11)</f>
        <v>791800.0</v>
      </c>
      <c r="DL5" s="14">
        <f>SUM('Entity Inputs'!DL5,'Entity Inputs'!DL11)</f>
        <v>161831.1</v>
      </c>
      <c r="DM5" s="14">
        <f>SUM('Entity Inputs'!DM5,'Entity Inputs'!DM11)</f>
        <v>9.0</v>
      </c>
      <c r="DN5" s="14">
        <f>SUM('Entity Inputs'!DN5,'Entity Inputs'!DN11)</f>
        <v>2.0</v>
      </c>
      <c r="DO5" s="14">
        <f>SUM('Entity Inputs'!DO5,'Entity Inputs'!DO11)</f>
        <v>0.0</v>
      </c>
      <c r="DP5" s="14">
        <f>SUM('Entity Inputs'!DP5,'Entity Inputs'!DP11)</f>
        <v>0.0</v>
      </c>
      <c r="DQ5" s="14">
        <f>SUM('Entity Inputs'!DQ5,'Entity Inputs'!DQ11)</f>
        <v>10.0</v>
      </c>
      <c r="DR5" s="14">
        <f>SUM('Entity Inputs'!DR5,'Entity Inputs'!DR11)</f>
        <v>22.0</v>
      </c>
      <c r="DS5" s="14">
        <f>SUM('Entity Inputs'!DS5,'Entity Inputs'!DS11)</f>
        <v>15.0</v>
      </c>
      <c r="DT5" s="14">
        <f>SUM('Entity Inputs'!DT5,'Entity Inputs'!DT11)</f>
        <v>6.0</v>
      </c>
      <c r="DU5" s="14">
        <f>SUM('Entity Inputs'!DU5,'Entity Inputs'!DU11)</f>
        <v>3.0</v>
      </c>
      <c r="DV5" s="14">
        <f>SUM('Entity Inputs'!DV5,'Entity Inputs'!DV11)</f>
        <v>124.0</v>
      </c>
      <c r="DW5" s="14">
        <f>SUM('Entity Inputs'!DW5,'Entity Inputs'!DW11)</f>
        <v>43.0</v>
      </c>
      <c r="DX5" s="14">
        <f>SUM('Entity Inputs'!DX5,'Entity Inputs'!DX11)</f>
        <v>14465.400000000001</v>
      </c>
      <c r="DY5" s="14">
        <f>SUM('Entity Inputs'!DY5,'Entity Inputs'!DY11)</f>
        <v>7082.700000000001</v>
      </c>
      <c r="DZ5" s="14">
        <f>SUM('Entity Inputs'!DZ5,'Entity Inputs'!DZ11)</f>
        <v>2340.2</v>
      </c>
      <c r="EA5" s="14">
        <f>SUM('Entity Inputs'!EA5,'Entity Inputs'!EA11)</f>
        <v>1492.6999999999998</v>
      </c>
      <c r="EB5" s="14">
        <f>SUM('Entity Inputs'!EB5,'Entity Inputs'!EB11)</f>
        <v>1895.1</v>
      </c>
      <c r="EC5" s="14">
        <f>SUM('Entity Inputs'!EC5,'Entity Inputs'!EC11)</f>
        <v>140.0</v>
      </c>
      <c r="ED5" s="14">
        <f>SUM('Entity Inputs'!ED5,'Entity Inputs'!ED11)</f>
        <v>133.0</v>
      </c>
      <c r="EE5" s="14">
        <f>SUM('Entity Inputs'!EE5,'Entity Inputs'!EE11)</f>
        <v>5.0</v>
      </c>
      <c r="EF5" s="14">
        <f>SUM('Entity Inputs'!EF5,'Entity Inputs'!EF11)</f>
        <v>1.0</v>
      </c>
      <c r="EG5" s="14">
        <f>SUM('Entity Inputs'!EG5,'Entity Inputs'!EG11)</f>
        <v>3.0</v>
      </c>
      <c r="EH5" s="14">
        <f>SUM('Entity Inputs'!EH5,'Entity Inputs'!EH11)</f>
        <v>0.0</v>
      </c>
      <c r="EI5" s="14">
        <f>SUM('Entity Inputs'!EI5,'Entity Inputs'!EI11)</f>
        <v>0.0</v>
      </c>
      <c r="EJ5" s="14">
        <f>SUM('Entity Inputs'!EJ5,'Entity Inputs'!EJ11)</f>
        <v>2.0</v>
      </c>
      <c r="EK5" s="14">
        <f>SUM('Entity Inputs'!EK5,'Entity Inputs'!EK11)</f>
        <v>1.0</v>
      </c>
      <c r="EL5" s="14">
        <f>SUM('Entity Inputs'!EL5,'Entity Inputs'!EL11)</f>
        <v>0.0</v>
      </c>
      <c r="EM5" s="14">
        <f>SUM('Entity Inputs'!EM5,'Entity Inputs'!EM11)</f>
        <v>0.0</v>
      </c>
      <c r="EN5" s="14">
        <f>SUM('Entity Inputs'!EN5,'Entity Inputs'!EN11)</f>
        <v>0.0</v>
      </c>
      <c r="EO5" s="14">
        <f>SUM('Entity Inputs'!EO5,'Entity Inputs'!EO11)</f>
        <v>0.0</v>
      </c>
      <c r="EP5" s="14">
        <f>SUM('Entity Inputs'!EP5,'Entity Inputs'!EP11)</f>
        <v>0.0</v>
      </c>
      <c r="EQ5" s="14">
        <f>SUM('Entity Inputs'!EQ5,'Entity Inputs'!EQ11)</f>
        <v>2.0</v>
      </c>
      <c r="ER5" s="14">
        <f>SUM('Entity Inputs'!ER5,'Entity Inputs'!ER11)</f>
        <v>2.0</v>
      </c>
      <c r="ES5" s="14">
        <f>SUM('Entity Inputs'!ES5,'Entity Inputs'!ES11)</f>
        <v>0.0</v>
      </c>
      <c r="ET5" s="14">
        <f>SUM('Entity Inputs'!ET5,'Entity Inputs'!ET11)</f>
        <v>1.0</v>
      </c>
      <c r="EU5" s="14">
        <f>SUM('Entity Inputs'!EU5,'Entity Inputs'!EU11)</f>
        <v>8.0</v>
      </c>
      <c r="EV5" s="14">
        <f>SUM('Entity Inputs'!EV5,'Entity Inputs'!EV11)</f>
        <v>0.0</v>
      </c>
      <c r="EW5" s="14">
        <f>SUM('Entity Inputs'!EW5,'Entity Inputs'!EW11)</f>
        <v>1.0</v>
      </c>
      <c r="EX5" s="14">
        <f>SUM('Entity Inputs'!EX5,'Entity Inputs'!EX11)</f>
        <v>1.0</v>
      </c>
      <c r="EY5" s="14">
        <f>SUM('Entity Inputs'!EY5,'Entity Inputs'!EY11)</f>
        <v>108.0</v>
      </c>
      <c r="EZ5" s="14">
        <f>SUM('Entity Inputs'!EZ5,'Entity Inputs'!EZ11)</f>
        <v>95.0</v>
      </c>
      <c r="FA5" s="14">
        <f>SUM('Entity Inputs'!FA5,'Entity Inputs'!FA11)</f>
        <v>4.0</v>
      </c>
      <c r="FB5" s="14">
        <f>SUM('Entity Inputs'!FB5,'Entity Inputs'!FB11)</f>
        <v>122.0</v>
      </c>
      <c r="FC5" s="14">
        <f>SUM('Entity Inputs'!FC5,'Entity Inputs'!FC11)</f>
        <v>56.0</v>
      </c>
      <c r="FD5" s="14">
        <f>SUM('Entity Inputs'!FD5,'Entity Inputs'!FD11)</f>
        <v>47.0</v>
      </c>
      <c r="FE5" s="14">
        <f>SUM('Entity Inputs'!FE5,'Entity Inputs'!FE11)</f>
        <v>52.0</v>
      </c>
      <c r="FF5" s="14">
        <f>SUM('Entity Inputs'!FF5,'Entity Inputs'!FF11)</f>
        <v>1.0</v>
      </c>
      <c r="FG5" s="14">
        <f>SUM('Entity Inputs'!FG5,'Entity Inputs'!FG11)</f>
        <v>1.0</v>
      </c>
      <c r="FH5" s="14">
        <f>SUM('Entity Inputs'!FH5,'Entity Inputs'!FH11)</f>
        <v>0.0</v>
      </c>
      <c r="FI5" s="14">
        <f>SUM('Entity Inputs'!FI5,'Entity Inputs'!FI11)</f>
        <v>970266.0</v>
      </c>
      <c r="FJ5" s="14">
        <f>SUM('Entity Inputs'!FJ5,'Entity Inputs'!FJ11)</f>
        <v>964647.0</v>
      </c>
      <c r="FK5" s="14">
        <f>SUM('Entity Inputs'!FK5,'Entity Inputs'!FK11)</f>
        <v>820.0</v>
      </c>
      <c r="FL5" s="14">
        <f>SUM('Entity Inputs'!FL5,'Entity Inputs'!FL11)</f>
        <v>790.0</v>
      </c>
      <c r="FM5" s="14">
        <f>SUM('Entity Inputs'!FM5,'Entity Inputs'!FM11)</f>
        <v>0.0</v>
      </c>
      <c r="FN5" s="14">
        <f>SUM('Entity Inputs'!FN5,'Entity Inputs'!FN11)</f>
        <v>0.0</v>
      </c>
      <c r="FO5" s="14">
        <f>SUM('Entity Inputs'!FO5,'Entity Inputs'!FO11)</f>
        <v>0.0</v>
      </c>
      <c r="FP5" s="14">
        <f>SUM('Entity Inputs'!FP5,'Entity Inputs'!FP11)</f>
        <v>8.0</v>
      </c>
      <c r="FQ5" s="14">
        <f>SUM('Entity Inputs'!FQ5,'Entity Inputs'!FQ11)</f>
        <v>19.3</v>
      </c>
      <c r="FR5" s="14">
        <f>SUM('Entity Inputs'!FR5,'Entity Inputs'!FR11)</f>
        <v>10.0</v>
      </c>
      <c r="FS5" s="14">
        <f>SUM('Entity Inputs'!FS5,'Entity Inputs'!FS11)</f>
        <v>1.0</v>
      </c>
      <c r="FT5" s="14">
        <f>SUM('Entity Inputs'!FT5,'Entity Inputs'!FT11)</f>
        <v>1.0</v>
      </c>
      <c r="FU5" s="14">
        <f>SUM('Entity Inputs'!FU5,'Entity Inputs'!FU11)</f>
        <v>1.0</v>
      </c>
      <c r="FV5" s="15">
        <f>AU5-V5-X5-BY5</f>
        <v>252559.59999999998</v>
      </c>
      <c r="FW5" s="15">
        <f>FV5-AX5</f>
        <v>164572.19999999995</v>
      </c>
      <c r="FX5" s="15">
        <f>CJ5+CL5-CK5</f>
        <v>2719998.2</v>
      </c>
      <c r="FY5" s="15">
        <f>FX5-FX4</f>
        <v>-192583.50000000047</v>
      </c>
      <c r="FZ5" s="15">
        <f>FV5-BZ5-FY5</f>
        <v>390792.00000000047</v>
      </c>
      <c r="GA5" s="15">
        <f>FZ5-DJ5</f>
        <v>245724.60000000044</v>
      </c>
      <c r="GB5" s="15">
        <f>CB5-CC5</f>
        <v>6930000.0</v>
      </c>
      <c r="GC5" s="15">
        <f>SUM(FV$4:FV5)*12/D5</f>
        <v>3447136.1999999983</v>
      </c>
      <c r="GD5" s="15">
        <f>IF(AU5=0,0,CJ5/AU5*C5)</f>
        <v>48.65517526710251</v>
      </c>
      <c r="GE5" s="15">
        <f>IF(V5=0,0,CK5/V5*C5)</f>
        <v>51.110884679461705</v>
      </c>
      <c r="GF5" s="15">
        <f>IF(V5=0,0,CL5/V5*C5)</f>
        <v>38.38389750079941</v>
      </c>
      <c r="GG5" s="15">
        <f>IF(OR(AS5=0,AT5=0,AV5=0),0,100*((AU5/AS5)/(AV5/AT5)-1))</f>
        <v>0.006230072772361872</v>
      </c>
    </row>
    <row r="6" spans="1:189">
      <c r="A6" t="s">
        <v>15</v>
      </c>
      <c r="B6" t="s">
        <v>174</v>
      </c>
      <c r="C6">
        <v>30</v>
      </c>
      <c r="D6">
        <v>3</v>
      </c>
      <c r="E6" s="14">
        <f>SUM('Entity Inputs'!E6,'Entity Inputs'!E12)</f>
        <v>4320.0</v>
      </c>
      <c r="F6" s="14">
        <f>SUM('Entity Inputs'!F6,'Entity Inputs'!F12)</f>
        <v>4295.0</v>
      </c>
      <c r="G6" s="14">
        <f>SUM('Entity Inputs'!G6,'Entity Inputs'!G12)</f>
        <v>4063.3</v>
      </c>
      <c r="H6" s="14">
        <f>SUM('Entity Inputs'!H6,'Entity Inputs'!H12)</f>
        <v>142.0</v>
      </c>
      <c r="I6" s="14">
        <f>SUM('Entity Inputs'!I6,'Entity Inputs'!I12)</f>
        <v>745554.0</v>
      </c>
      <c r="J6" s="14">
        <f>SUM('Entity Inputs'!J6,'Entity Inputs'!J12)</f>
        <v>749808.0</v>
      </c>
      <c r="K6" s="14">
        <f>SUM('Entity Inputs'!K6,'Entity Inputs'!K12)</f>
        <v>665109.0</v>
      </c>
      <c r="L6" s="14">
        <f>SUM('Entity Inputs'!L6,'Entity Inputs'!L12)</f>
        <v>617636.0</v>
      </c>
      <c r="M6" s="14">
        <f>SUM('Entity Inputs'!M6,'Entity Inputs'!M12)</f>
        <v>598134.0</v>
      </c>
      <c r="N6" s="14">
        <f>SUM('Entity Inputs'!N6,'Entity Inputs'!N12)</f>
        <v>653880.0</v>
      </c>
      <c r="O6" s="14">
        <f>SUM('Entity Inputs'!O6,'Entity Inputs'!O12)</f>
        <v>130336.0</v>
      </c>
      <c r="P6" s="14">
        <f>SUM('Entity Inputs'!P6,'Entity Inputs'!P12)</f>
        <v>114893.0</v>
      </c>
      <c r="Q6" s="14">
        <f>SUM('Entity Inputs'!Q6,'Entity Inputs'!Q12)</f>
        <v>24878.0</v>
      </c>
      <c r="R6" s="14">
        <f>SUM('Entity Inputs'!R6,'Entity Inputs'!R12)</f>
        <v>17.0</v>
      </c>
      <c r="S6" s="14">
        <f>SUM('Entity Inputs'!S6,'Entity Inputs'!S12)</f>
        <v>111.80000000000001</v>
      </c>
      <c r="T6" s="14">
        <f>SUM('Entity Inputs'!T6,'Entity Inputs'!T12)</f>
        <v>263.0</v>
      </c>
      <c r="U6" s="14">
        <f>SUM('Entity Inputs'!U6,'Entity Inputs'!U12)</f>
        <v>249.0</v>
      </c>
      <c r="V6" s="14">
        <f>SUM('Entity Inputs'!V6,'Entity Inputs'!V12)</f>
        <v>1886763.2000000002</v>
      </c>
      <c r="W6" s="14">
        <f>SUM('Entity Inputs'!W6,'Entity Inputs'!W12)</f>
        <v>514853.4</v>
      </c>
      <c r="X6" s="14">
        <f>SUM('Entity Inputs'!X6,'Entity Inputs'!X12)</f>
        <v>6480.2</v>
      </c>
      <c r="Y6" s="14">
        <f>SUM('Entity Inputs'!Y6,'Entity Inputs'!Y12)</f>
        <v>1245659.0</v>
      </c>
      <c r="Z6" s="14">
        <f>SUM('Entity Inputs'!Z6,'Entity Inputs'!Z12)</f>
        <v>374121.0</v>
      </c>
      <c r="AA6" s="14">
        <f>SUM('Entity Inputs'!AA6,'Entity Inputs'!AA12)</f>
        <v>1951323.0</v>
      </c>
      <c r="AB6" s="14">
        <f>SUM('Entity Inputs'!AB6,'Entity Inputs'!AB12)</f>
        <v>72181.0</v>
      </c>
      <c r="AC6" s="14">
        <f>SUM('Entity Inputs'!AC6,'Entity Inputs'!AC12)</f>
        <v>9.0</v>
      </c>
      <c r="AD6" s="14">
        <f>SUM('Entity Inputs'!AD6,'Entity Inputs'!AD12)</f>
        <v>443000.0</v>
      </c>
      <c r="AE6" s="14">
        <f>SUM('Entity Inputs'!AE6,'Entity Inputs'!AE12)</f>
        <v>5.0</v>
      </c>
      <c r="AF6" s="14">
        <f>SUM('Entity Inputs'!AF6,'Entity Inputs'!AF12)</f>
        <v>0.0</v>
      </c>
      <c r="AG6" s="14">
        <f>SUM('Entity Inputs'!AG6,'Entity Inputs'!AG12)</f>
        <v>44.0</v>
      </c>
      <c r="AH6" s="14">
        <f>SUM('Entity Inputs'!AH6,'Entity Inputs'!AH12)</f>
        <v>0.0</v>
      </c>
      <c r="AI6" s="14">
        <f>SUM('Entity Inputs'!AI6,'Entity Inputs'!AI12)</f>
        <v>1.0</v>
      </c>
      <c r="AJ6" s="14">
        <f>SUM('Entity Inputs'!AJ6,'Entity Inputs'!AJ12)</f>
        <v>1.0</v>
      </c>
      <c r="AK6" s="14">
        <f>SUM('Entity Inputs'!AK6,'Entity Inputs'!AK12)</f>
        <v>45.0</v>
      </c>
      <c r="AL6" s="14">
        <f>SUM('Entity Inputs'!AL6,'Entity Inputs'!AL12)</f>
        <v>8.0</v>
      </c>
      <c r="AM6" s="14">
        <f>SUM('Entity Inputs'!AM6,'Entity Inputs'!AM12)</f>
        <v>9.0</v>
      </c>
      <c r="AN6" s="14">
        <f>SUM('Entity Inputs'!AN6,'Entity Inputs'!AN12)</f>
        <v>8.0</v>
      </c>
      <c r="AO6" s="14">
        <f>SUM('Entity Inputs'!AO6,'Entity Inputs'!AO12)</f>
        <v>1.0</v>
      </c>
      <c r="AP6" s="14">
        <f>SUM('Entity Inputs'!AP6,'Entity Inputs'!AP12)</f>
        <v>1109.0</v>
      </c>
      <c r="AQ6" s="14">
        <f>SUM('Entity Inputs'!AQ6,'Entity Inputs'!AQ12)</f>
        <v>83.0</v>
      </c>
      <c r="AR6" s="14">
        <f>MIN('Entity Inputs'!AR6,'Entity Inputs'!AR12)</f>
        <v>155</v>
      </c>
      <c r="AS6" s="14">
        <f>SUM('Entity Inputs'!AS6,'Entity Inputs'!AS12)</f>
        <v>592634.0</v>
      </c>
      <c r="AT6" s="14">
        <f>SUM('Entity Inputs'!AT6,'Entity Inputs'!AT12)</f>
        <v>666119.0</v>
      </c>
      <c r="AU6" s="14">
        <f>SUM('Entity Inputs'!AU6,'Entity Inputs'!AU12)</f>
        <v>2235648.7</v>
      </c>
      <c r="AV6" s="14">
        <f>SUM('Entity Inputs'!AV6,'Entity Inputs'!AV12)</f>
        <v>2504607.4</v>
      </c>
      <c r="AW6" s="14">
        <f>SUM('Entity Inputs'!AW6,'Entity Inputs'!AW12)</f>
        <v>114615.8</v>
      </c>
      <c r="AX6" s="14">
        <f>SUM('Entity Inputs'!AX6,'Entity Inputs'!AX12)</f>
        <v>88467.79999999999</v>
      </c>
      <c r="AY6" s="14">
        <f>SUM('Entity Inputs'!AY6,'Entity Inputs'!AY12)</f>
        <v>1373.0</v>
      </c>
      <c r="AZ6" s="14">
        <f>SUM('Entity Inputs'!AZ6,'Entity Inputs'!AZ12)</f>
        <v>1264.0</v>
      </c>
      <c r="BA6" s="14">
        <f>SUM('Entity Inputs'!BA6,'Entity Inputs'!BA12)</f>
        <v>650182.0</v>
      </c>
      <c r="BB6" s="14">
        <f>SUM('Entity Inputs'!BB6,'Entity Inputs'!BB12)</f>
        <v>630209.0</v>
      </c>
      <c r="BC6" s="14">
        <f>SUM('Entity Inputs'!BC6,'Entity Inputs'!BC12)</f>
        <v>5472.0</v>
      </c>
      <c r="BD6" s="14">
        <f>SUM('Entity Inputs'!BD6,'Entity Inputs'!BD12)</f>
        <v>4620.0</v>
      </c>
      <c r="BE6" s="14">
        <f>SUM('Entity Inputs'!BE6,'Entity Inputs'!BE12)</f>
        <v>4767.0</v>
      </c>
      <c r="BF6" s="14">
        <f>SUM('Entity Inputs'!BF6,'Entity Inputs'!BF12)</f>
        <v>1065448.9</v>
      </c>
      <c r="BG6" s="14">
        <f>SUM('Entity Inputs'!BG6,'Entity Inputs'!BG12)</f>
        <v>398487.7</v>
      </c>
      <c r="BH6" s="14">
        <f>SUM('Entity Inputs'!BH6,'Entity Inputs'!BH12)</f>
        <v>1.0</v>
      </c>
      <c r="BI6" s="14">
        <f>SUM('Entity Inputs'!BI6,'Entity Inputs'!BI12)</f>
        <v>1.0</v>
      </c>
      <c r="BJ6" s="14">
        <f>SUM('Entity Inputs'!BJ6,'Entity Inputs'!BJ12)</f>
        <v>2.0</v>
      </c>
      <c r="BK6" s="14">
        <f>SUM('Entity Inputs'!BK6,'Entity Inputs'!BK12)</f>
        <v>3.0</v>
      </c>
      <c r="BL6" s="14">
        <f>SUM('Entity Inputs'!BL6,'Entity Inputs'!BL12)</f>
        <v>4.0</v>
      </c>
      <c r="BM6" s="14">
        <f>SUM('Entity Inputs'!BM6,'Entity Inputs'!BM12)</f>
        <v>0.0</v>
      </c>
      <c r="BN6" s="14">
        <f>SUM('Entity Inputs'!BN6,'Entity Inputs'!BN12)</f>
        <v>0.0</v>
      </c>
      <c r="BO6" s="14">
        <f>SUM('Entity Inputs'!BO6,'Entity Inputs'!BO12)</f>
        <v>0.0</v>
      </c>
      <c r="BP6" s="14">
        <f>SUM('Entity Inputs'!BP6,'Entity Inputs'!BP12)</f>
        <v>0.0</v>
      </c>
      <c r="BQ6" s="14">
        <f>SUM('Entity Inputs'!BQ6,'Entity Inputs'!BQ12)</f>
        <v>0.0</v>
      </c>
      <c r="BR6" s="14">
        <f>SUM('Entity Inputs'!BR6,'Entity Inputs'!BR12)</f>
        <v>0.0</v>
      </c>
      <c r="BS6" s="14">
        <f>MIN('Entity Inputs'!BS6,'Entity Inputs'!BS12)</f>
        <v>18</v>
      </c>
      <c r="BT6" s="14">
        <f>SUM('Entity Inputs'!BT6,'Entity Inputs'!BT12)</f>
        <v>669096.0</v>
      </c>
      <c r="BU6" s="14">
        <f>SUM('Entity Inputs'!BU6,'Entity Inputs'!BU12)</f>
        <v>662563.0</v>
      </c>
      <c r="BV6" s="14">
        <f>SUM('Entity Inputs'!BV6,'Entity Inputs'!BV12)</f>
        <v>266716438.0</v>
      </c>
      <c r="BW6" s="14">
        <f>SUM('Entity Inputs'!BW6,'Entity Inputs'!BW12)</f>
        <v>745554.0</v>
      </c>
      <c r="BX6" s="14">
        <f>SUM('Entity Inputs'!BX6,'Entity Inputs'!BX12)</f>
        <v>23284.0</v>
      </c>
      <c r="BY6" s="14">
        <f>SUM('Entity Inputs'!BY6,'Entity Inputs'!BY12)</f>
        <v>100465.79999999999</v>
      </c>
      <c r="BZ6" s="14">
        <f>SUM('Entity Inputs'!BZ6,'Entity Inputs'!BZ12)</f>
        <v>51727.8</v>
      </c>
      <c r="CA6" s="14">
        <f>SUM('Entity Inputs'!CA6,'Entity Inputs'!CA12)</f>
        <v>20966400.0</v>
      </c>
      <c r="CB6" s="14">
        <f>SUM('Entity Inputs'!CB6,'Entity Inputs'!CB12)</f>
        <v>8846191.399999999</v>
      </c>
      <c r="CC6" s="14">
        <f>SUM('Entity Inputs'!CC6,'Entity Inputs'!CC12)</f>
        <v>1986191.4</v>
      </c>
      <c r="CD6" s="14">
        <f>SUM('Entity Inputs'!CD6,'Entity Inputs'!CD12)</f>
        <v>896428.1</v>
      </c>
      <c r="CE6" s="14">
        <f>SUM('Entity Inputs'!CE6,'Entity Inputs'!CE12)</f>
        <v>72030.0</v>
      </c>
      <c r="CF6" s="14">
        <f>SUM('Entity Inputs'!CF6,'Entity Inputs'!CF12)</f>
        <v>881233.3</v>
      </c>
      <c r="CG6" s="14">
        <f>SUM('Entity Inputs'!CG6,'Entity Inputs'!CG12)</f>
        <v>2568180.9</v>
      </c>
      <c r="CH6" s="14">
        <f>SUM('Entity Inputs'!CH6,'Entity Inputs'!CH12)</f>
        <v>241464.69999999998</v>
      </c>
      <c r="CI6" s="14">
        <f>SUM('Entity Inputs'!CI6,'Entity Inputs'!CI12)</f>
        <v>2245429.6</v>
      </c>
      <c r="CJ6" s="14">
        <f>SUM('Entity Inputs'!CJ6,'Entity Inputs'!CJ12)</f>
        <v>3608355.3</v>
      </c>
      <c r="CK6" s="14">
        <f>SUM('Entity Inputs'!CK6,'Entity Inputs'!CK12)</f>
        <v>3294920.3</v>
      </c>
      <c r="CL6" s="14">
        <f>SUM('Entity Inputs'!CL6,'Entity Inputs'!CL12)</f>
        <v>2436926.9</v>
      </c>
      <c r="CM6" s="14">
        <f>SUM('Entity Inputs'!CM6,'Entity Inputs'!CM12)</f>
        <v>2203457.6</v>
      </c>
      <c r="CN6" s="14">
        <f>SUM('Entity Inputs'!CN6,'Entity Inputs'!CN12)</f>
        <v>3784.2999999999997</v>
      </c>
      <c r="CO6" s="14">
        <f>SUM('Entity Inputs'!CO6,'Entity Inputs'!CO12)</f>
        <v>196267.7</v>
      </c>
      <c r="CP6" s="14">
        <f>SUM('Entity Inputs'!CP6,'Entity Inputs'!CP12)</f>
        <v>196267.7</v>
      </c>
      <c r="CQ6" s="14">
        <f>SUM('Entity Inputs'!CQ6,'Entity Inputs'!CQ12)</f>
        <v>758.0</v>
      </c>
      <c r="CR6" s="14">
        <f>SUM('Entity Inputs'!CR6,'Entity Inputs'!CR12)</f>
        <v>34210.0</v>
      </c>
      <c r="CS6" s="14">
        <f>SUM('Entity Inputs'!CS6,'Entity Inputs'!CS12)</f>
        <v>34110.0</v>
      </c>
      <c r="CT6" s="14">
        <f>SUM('Entity Inputs'!CT6,'Entity Inputs'!CT12)</f>
        <v>0.0</v>
      </c>
      <c r="CU6" s="14">
        <f>SUM('Entity Inputs'!CU6,'Entity Inputs'!CU12)</f>
        <v>1443633.8</v>
      </c>
      <c r="CV6" s="14">
        <f>SUM('Entity Inputs'!CV6,'Entity Inputs'!CV12)</f>
        <v>1455641.9</v>
      </c>
      <c r="CW6" s="14">
        <f>SUM('Entity Inputs'!CW6,'Entity Inputs'!CW12)</f>
        <v>247703.9</v>
      </c>
      <c r="CX6" s="14">
        <f>SUM('Entity Inputs'!CX6,'Entity Inputs'!CX12)</f>
        <v>6761559.9</v>
      </c>
      <c r="CY6" s="14">
        <f>SUM('Entity Inputs'!CY6,'Entity Inputs'!CY12)</f>
        <v>2835283.7</v>
      </c>
      <c r="CZ6" s="14">
        <f>SUM('Entity Inputs'!CZ6,'Entity Inputs'!CZ12)</f>
        <v>706443.8999999999</v>
      </c>
      <c r="DA6" s="14">
        <f>SUM('Entity Inputs'!DA6,'Entity Inputs'!DA12)</f>
        <v>518162.4</v>
      </c>
      <c r="DB6" s="14">
        <f>SUM('Entity Inputs'!DB6,'Entity Inputs'!DB12)</f>
        <v>559114.3</v>
      </c>
      <c r="DC6" s="14">
        <f>SUM('Entity Inputs'!DC6,'Entity Inputs'!DC12)</f>
        <v>411224.6</v>
      </c>
      <c r="DD6" s="14">
        <f>SUM('Entity Inputs'!DD6,'Entity Inputs'!DD12)</f>
        <v>7733.799999999999</v>
      </c>
      <c r="DE6" s="14">
        <f>SUM('Entity Inputs'!DE6,'Entity Inputs'!DE12)</f>
        <v>8330.3</v>
      </c>
      <c r="DF6" s="14">
        <f>SUM('Entity Inputs'!DF6,'Entity Inputs'!DF12)</f>
        <v>4307643.3</v>
      </c>
      <c r="DG6" s="14">
        <f>SUM('Entity Inputs'!DG6,'Entity Inputs'!DG12)</f>
        <v>3010603.7</v>
      </c>
      <c r="DH6" s="14">
        <f>SUM('Entity Inputs'!DH6,'Entity Inputs'!DH12)</f>
        <v>1860000.0</v>
      </c>
      <c r="DI6" s="14">
        <f>SUM('Entity Inputs'!DI6,'Entity Inputs'!DI12)</f>
        <v>1037264.3999999999</v>
      </c>
      <c r="DJ6" s="14">
        <f>SUM('Entity Inputs'!DJ6,'Entity Inputs'!DJ12)</f>
        <v>143652.5</v>
      </c>
      <c r="DK6" s="14">
        <f>SUM('Entity Inputs'!DK6,'Entity Inputs'!DK12)</f>
        <v>876800.0</v>
      </c>
      <c r="DL6" s="14">
        <f>SUM('Entity Inputs'!DL6,'Entity Inputs'!DL12)</f>
        <v>152285.7</v>
      </c>
      <c r="DM6" s="14">
        <f>SUM('Entity Inputs'!DM6,'Entity Inputs'!DM12)</f>
        <v>9.0</v>
      </c>
      <c r="DN6" s="14">
        <f>SUM('Entity Inputs'!DN6,'Entity Inputs'!DN12)</f>
        <v>2.0</v>
      </c>
      <c r="DO6" s="14">
        <f>SUM('Entity Inputs'!DO6,'Entity Inputs'!DO12)</f>
        <v>0.0</v>
      </c>
      <c r="DP6" s="14">
        <f>SUM('Entity Inputs'!DP6,'Entity Inputs'!DP12)</f>
        <v>0.0</v>
      </c>
      <c r="DQ6" s="14">
        <f>SUM('Entity Inputs'!DQ6,'Entity Inputs'!DQ12)</f>
        <v>11.0</v>
      </c>
      <c r="DR6" s="14">
        <f>SUM('Entity Inputs'!DR6,'Entity Inputs'!DR12)</f>
        <v>24.0</v>
      </c>
      <c r="DS6" s="14">
        <f>SUM('Entity Inputs'!DS6,'Entity Inputs'!DS12)</f>
        <v>15.0</v>
      </c>
      <c r="DT6" s="14">
        <f>SUM('Entity Inputs'!DT6,'Entity Inputs'!DT12)</f>
        <v>6.0</v>
      </c>
      <c r="DU6" s="14">
        <f>SUM('Entity Inputs'!DU6,'Entity Inputs'!DU12)</f>
        <v>3.0</v>
      </c>
      <c r="DV6" s="14">
        <f>SUM('Entity Inputs'!DV6,'Entity Inputs'!DV12)</f>
        <v>124.0</v>
      </c>
      <c r="DW6" s="14">
        <f>SUM('Entity Inputs'!DW6,'Entity Inputs'!DW12)</f>
        <v>49.0</v>
      </c>
      <c r="DX6" s="14">
        <f>SUM('Entity Inputs'!DX6,'Entity Inputs'!DX12)</f>
        <v>14111.0</v>
      </c>
      <c r="DY6" s="14">
        <f>SUM('Entity Inputs'!DY6,'Entity Inputs'!DY12)</f>
        <v>6707.1</v>
      </c>
      <c r="DZ6" s="14">
        <f>SUM('Entity Inputs'!DZ6,'Entity Inputs'!DZ12)</f>
        <v>2384.8999999999996</v>
      </c>
      <c r="EA6" s="14">
        <f>SUM('Entity Inputs'!EA6,'Entity Inputs'!EA12)</f>
        <v>1435.2</v>
      </c>
      <c r="EB6" s="14">
        <f>SUM('Entity Inputs'!EB6,'Entity Inputs'!EB12)</f>
        <v>1895.1</v>
      </c>
      <c r="EC6" s="14">
        <f>SUM('Entity Inputs'!EC6,'Entity Inputs'!EC12)</f>
        <v>140.0</v>
      </c>
      <c r="ED6" s="14">
        <f>SUM('Entity Inputs'!ED6,'Entity Inputs'!ED12)</f>
        <v>135.0</v>
      </c>
      <c r="EE6" s="14">
        <f>SUM('Entity Inputs'!EE6,'Entity Inputs'!EE12)</f>
        <v>4.0</v>
      </c>
      <c r="EF6" s="14">
        <f>SUM('Entity Inputs'!EF6,'Entity Inputs'!EF12)</f>
        <v>0.0</v>
      </c>
      <c r="EG6" s="14">
        <f>SUM('Entity Inputs'!EG6,'Entity Inputs'!EG12)</f>
        <v>3.0</v>
      </c>
      <c r="EH6" s="14">
        <f>SUM('Entity Inputs'!EH6,'Entity Inputs'!EH12)</f>
        <v>0.0</v>
      </c>
      <c r="EI6" s="14">
        <f>SUM('Entity Inputs'!EI6,'Entity Inputs'!EI12)</f>
        <v>0.0</v>
      </c>
      <c r="EJ6" s="14">
        <f>SUM('Entity Inputs'!EJ6,'Entity Inputs'!EJ12)</f>
        <v>0.0</v>
      </c>
      <c r="EK6" s="14">
        <f>SUM('Entity Inputs'!EK6,'Entity Inputs'!EK12)</f>
        <v>0.0</v>
      </c>
      <c r="EL6" s="14">
        <f>SUM('Entity Inputs'!EL6,'Entity Inputs'!EL12)</f>
        <v>0.0</v>
      </c>
      <c r="EM6" s="14">
        <f>SUM('Entity Inputs'!EM6,'Entity Inputs'!EM12)</f>
        <v>0.0</v>
      </c>
      <c r="EN6" s="14">
        <f>SUM('Entity Inputs'!EN6,'Entity Inputs'!EN12)</f>
        <v>1.0</v>
      </c>
      <c r="EO6" s="14">
        <f>SUM('Entity Inputs'!EO6,'Entity Inputs'!EO12)</f>
        <v>0.0</v>
      </c>
      <c r="EP6" s="14">
        <f>SUM('Entity Inputs'!EP6,'Entity Inputs'!EP12)</f>
        <v>0.0</v>
      </c>
      <c r="EQ6" s="14">
        <f>SUM('Entity Inputs'!EQ6,'Entity Inputs'!EQ12)</f>
        <v>3.0</v>
      </c>
      <c r="ER6" s="14">
        <f>SUM('Entity Inputs'!ER6,'Entity Inputs'!ER12)</f>
        <v>0.0</v>
      </c>
      <c r="ES6" s="14">
        <f>SUM('Entity Inputs'!ES6,'Entity Inputs'!ES12)</f>
        <v>0.0</v>
      </c>
      <c r="ET6" s="14">
        <f>SUM('Entity Inputs'!ET6,'Entity Inputs'!ET12)</f>
        <v>1.0</v>
      </c>
      <c r="EU6" s="14">
        <f>SUM('Entity Inputs'!EU6,'Entity Inputs'!EU12)</f>
        <v>8.0</v>
      </c>
      <c r="EV6" s="14">
        <f>SUM('Entity Inputs'!EV6,'Entity Inputs'!EV12)</f>
        <v>0.0</v>
      </c>
      <c r="EW6" s="14">
        <f>SUM('Entity Inputs'!EW6,'Entity Inputs'!EW12)</f>
        <v>1.0</v>
      </c>
      <c r="EX6" s="14">
        <f>SUM('Entity Inputs'!EX6,'Entity Inputs'!EX12)</f>
        <v>1.0</v>
      </c>
      <c r="EY6" s="14">
        <f>SUM('Entity Inputs'!EY6,'Entity Inputs'!EY12)</f>
        <v>108.0</v>
      </c>
      <c r="EZ6" s="14">
        <f>SUM('Entity Inputs'!EZ6,'Entity Inputs'!EZ12)</f>
        <v>95.0</v>
      </c>
      <c r="FA6" s="14">
        <f>SUM('Entity Inputs'!FA6,'Entity Inputs'!FA12)</f>
        <v>4.0</v>
      </c>
      <c r="FB6" s="14">
        <f>SUM('Entity Inputs'!FB6,'Entity Inputs'!FB12)</f>
        <v>145.0</v>
      </c>
      <c r="FC6" s="14">
        <f>SUM('Entity Inputs'!FC6,'Entity Inputs'!FC12)</f>
        <v>56.0</v>
      </c>
      <c r="FD6" s="14">
        <f>SUM('Entity Inputs'!FD6,'Entity Inputs'!FD12)</f>
        <v>47.0</v>
      </c>
      <c r="FE6" s="14">
        <f>SUM('Entity Inputs'!FE6,'Entity Inputs'!FE12)</f>
        <v>52.0</v>
      </c>
      <c r="FF6" s="14">
        <f>SUM('Entity Inputs'!FF6,'Entity Inputs'!FF12)</f>
        <v>1.0</v>
      </c>
      <c r="FG6" s="14">
        <f>SUM('Entity Inputs'!FG6,'Entity Inputs'!FG12)</f>
        <v>1.0</v>
      </c>
      <c r="FH6" s="14">
        <f>SUM('Entity Inputs'!FH6,'Entity Inputs'!FH12)</f>
        <v>0.0</v>
      </c>
      <c r="FI6" s="14">
        <f>SUM('Entity Inputs'!FI6,'Entity Inputs'!FI12)</f>
        <v>988464.0</v>
      </c>
      <c r="FJ6" s="14">
        <f>SUM('Entity Inputs'!FJ6,'Entity Inputs'!FJ12)</f>
        <v>980818.0</v>
      </c>
      <c r="FK6" s="14">
        <f>SUM('Entity Inputs'!FK6,'Entity Inputs'!FK12)</f>
        <v>820.0</v>
      </c>
      <c r="FL6" s="14">
        <f>SUM('Entity Inputs'!FL6,'Entity Inputs'!FL12)</f>
        <v>791.0</v>
      </c>
      <c r="FM6" s="14">
        <f>SUM('Entity Inputs'!FM6,'Entity Inputs'!FM12)</f>
        <v>0.0</v>
      </c>
      <c r="FN6" s="14">
        <f>SUM('Entity Inputs'!FN6,'Entity Inputs'!FN12)</f>
        <v>0.0</v>
      </c>
      <c r="FO6" s="14">
        <f>SUM('Entity Inputs'!FO6,'Entity Inputs'!FO12)</f>
        <v>0.0</v>
      </c>
      <c r="FP6" s="14">
        <f>SUM('Entity Inputs'!FP6,'Entity Inputs'!FP12)</f>
        <v>8.0</v>
      </c>
      <c r="FQ6" s="14">
        <f>SUM('Entity Inputs'!FQ6,'Entity Inputs'!FQ12)</f>
        <v>19.5</v>
      </c>
      <c r="FR6" s="14">
        <f>SUM('Entity Inputs'!FR6,'Entity Inputs'!FR12)</f>
        <v>11.0</v>
      </c>
      <c r="FS6" s="14">
        <f>SUM('Entity Inputs'!FS6,'Entity Inputs'!FS12)</f>
        <v>1.0</v>
      </c>
      <c r="FT6" s="14">
        <f>SUM('Entity Inputs'!FT6,'Entity Inputs'!FT12)</f>
        <v>1.0</v>
      </c>
      <c r="FU6" s="14">
        <f>SUM('Entity Inputs'!FU6,'Entity Inputs'!FU12)</f>
        <v>0.0</v>
      </c>
      <c r="FV6" s="15">
        <f>AU6-V6-X6-BY6</f>
        <v>241939.5</v>
      </c>
      <c r="FW6" s="15">
        <f>FV6-AX6</f>
        <v>153471.7</v>
      </c>
      <c r="FX6" s="15">
        <f>CJ6+CL6-CK6</f>
        <v>2750361.8999999994</v>
      </c>
      <c r="FY6" s="15">
        <f>FX6-FX5</f>
        <v>30363.699999999255</v>
      </c>
      <c r="FZ6" s="15">
        <f>FV6-BZ6-FY6</f>
        <v>159848.00000000076</v>
      </c>
      <c r="GA6" s="15">
        <f>FZ6-DJ6</f>
        <v>16195.500000000757</v>
      </c>
      <c r="GB6" s="15">
        <f>CB6-CC6</f>
        <v>6859999.999999998</v>
      </c>
      <c r="GC6" s="15">
        <f>SUM(FV$4:FV6)*12/D6</f>
        <v>3265848.799999999</v>
      </c>
      <c r="GD6" s="15">
        <f>IF(AU6=0,0,CJ6/AU6*C6)</f>
        <v>48.420245542155165</v>
      </c>
      <c r="GE6" s="15">
        <f>IF(V6=0,0,CK6/V6*C6)</f>
        <v>52.39004502525806</v>
      </c>
      <c r="GF6" s="15">
        <f>IF(V6=0,0,CL6/V6*C6)</f>
        <v>38.747738454937</v>
      </c>
      <c r="GG6" s="15">
        <f>IF(OR(AS6=0,AT6=0,AV6=0),0,100*((AU6/AS6)/(AV6/AT6)-1))</f>
        <v>0.32961823126316236</v>
      </c>
    </row>
    <row r="7" spans="1:189">
      <c r="A7" t="s">
        <v>15</v>
      </c>
      <c r="B7" t="s">
        <v>175</v>
      </c>
      <c r="C7">
        <v>31</v>
      </c>
      <c r="D7">
        <v>4</v>
      </c>
      <c r="E7" s="14">
        <f>SUM('Entity Inputs'!E7,'Entity Inputs'!E13)</f>
        <v>4464.0</v>
      </c>
      <c r="F7" s="14">
        <f>SUM('Entity Inputs'!F7,'Entity Inputs'!F13)</f>
        <v>4439.0</v>
      </c>
      <c r="G7" s="14">
        <f>SUM('Entity Inputs'!G7,'Entity Inputs'!G13)</f>
        <v>4178.1</v>
      </c>
      <c r="H7" s="14">
        <f>SUM('Entity Inputs'!H7,'Entity Inputs'!H13)</f>
        <v>185.3</v>
      </c>
      <c r="I7" s="14">
        <f>SUM('Entity Inputs'!I7,'Entity Inputs'!I13)</f>
        <v>770386.0</v>
      </c>
      <c r="J7" s="14">
        <f>SUM('Entity Inputs'!J7,'Entity Inputs'!J13)</f>
        <v>774802.0</v>
      </c>
      <c r="K7" s="14">
        <f>SUM('Entity Inputs'!K7,'Entity Inputs'!K13)</f>
        <v>678280.0</v>
      </c>
      <c r="L7" s="14">
        <f>SUM('Entity Inputs'!L7,'Entity Inputs'!L13)</f>
        <v>661278.0</v>
      </c>
      <c r="M7" s="14">
        <f>SUM('Entity Inputs'!M7,'Entity Inputs'!M13)</f>
        <v>637730.0</v>
      </c>
      <c r="N7" s="14">
        <f>SUM('Entity Inputs'!N7,'Entity Inputs'!N13)</f>
        <v>697342.0</v>
      </c>
      <c r="O7" s="14">
        <f>SUM('Entity Inputs'!O7,'Entity Inputs'!O13)</f>
        <v>146686.0</v>
      </c>
      <c r="P7" s="14">
        <f>SUM('Entity Inputs'!P7,'Entity Inputs'!P13)</f>
        <v>127849.0</v>
      </c>
      <c r="Q7" s="14">
        <f>SUM('Entity Inputs'!Q7,'Entity Inputs'!Q13)</f>
        <v>32847.0</v>
      </c>
      <c r="R7" s="14">
        <f>SUM('Entity Inputs'!R7,'Entity Inputs'!R13)</f>
        <v>22.0</v>
      </c>
      <c r="S7" s="14">
        <f>SUM('Entity Inputs'!S7,'Entity Inputs'!S13)</f>
        <v>147.1</v>
      </c>
      <c r="T7" s="14">
        <f>SUM('Entity Inputs'!T7,'Entity Inputs'!T13)</f>
        <v>282.0</v>
      </c>
      <c r="U7" s="14">
        <f>SUM('Entity Inputs'!U7,'Entity Inputs'!U13)</f>
        <v>261.0</v>
      </c>
      <c r="V7" s="14">
        <f>SUM('Entity Inputs'!V7,'Entity Inputs'!V13)</f>
        <v>1970228.4000000001</v>
      </c>
      <c r="W7" s="14">
        <f>SUM('Entity Inputs'!W7,'Entity Inputs'!W13)</f>
        <v>564124.2</v>
      </c>
      <c r="X7" s="14">
        <f>SUM('Entity Inputs'!X7,'Entity Inputs'!X13)</f>
        <v>7301.6</v>
      </c>
      <c r="Y7" s="14">
        <f>SUM('Entity Inputs'!Y7,'Entity Inputs'!Y13)</f>
        <v>1399278.0</v>
      </c>
      <c r="Z7" s="14">
        <f>SUM('Entity Inputs'!Z7,'Entity Inputs'!Z13)</f>
        <v>397386.0</v>
      </c>
      <c r="AA7" s="14">
        <f>SUM('Entity Inputs'!AA7,'Entity Inputs'!AA13)</f>
        <v>2075090.0</v>
      </c>
      <c r="AB7" s="14">
        <f>SUM('Entity Inputs'!AB7,'Entity Inputs'!AB13)</f>
        <v>38527.0</v>
      </c>
      <c r="AC7" s="14">
        <f>SUM('Entity Inputs'!AC7,'Entity Inputs'!AC13)</f>
        <v>3.0</v>
      </c>
      <c r="AD7" s="14">
        <f>SUM('Entity Inputs'!AD7,'Entity Inputs'!AD13)</f>
        <v>445000.0</v>
      </c>
      <c r="AE7" s="14">
        <f>SUM('Entity Inputs'!AE7,'Entity Inputs'!AE13)</f>
        <v>3.0</v>
      </c>
      <c r="AF7" s="14">
        <f>SUM('Entity Inputs'!AF7,'Entity Inputs'!AF13)</f>
        <v>2.0</v>
      </c>
      <c r="AG7" s="14">
        <f>SUM('Entity Inputs'!AG7,'Entity Inputs'!AG13)</f>
        <v>32.0</v>
      </c>
      <c r="AH7" s="14">
        <f>SUM('Entity Inputs'!AH7,'Entity Inputs'!AH13)</f>
        <v>0.0</v>
      </c>
      <c r="AI7" s="14">
        <f>SUM('Entity Inputs'!AI7,'Entity Inputs'!AI13)</f>
        <v>3.0</v>
      </c>
      <c r="AJ7" s="14">
        <f>SUM('Entity Inputs'!AJ7,'Entity Inputs'!AJ13)</f>
        <v>0.0</v>
      </c>
      <c r="AK7" s="14">
        <f>SUM('Entity Inputs'!AK7,'Entity Inputs'!AK13)</f>
        <v>60.0</v>
      </c>
      <c r="AL7" s="14">
        <f>SUM('Entity Inputs'!AL7,'Entity Inputs'!AL13)</f>
        <v>12.0</v>
      </c>
      <c r="AM7" s="14">
        <f>SUM('Entity Inputs'!AM7,'Entity Inputs'!AM13)</f>
        <v>7.0</v>
      </c>
      <c r="AN7" s="14">
        <f>SUM('Entity Inputs'!AN7,'Entity Inputs'!AN13)</f>
        <v>6.0</v>
      </c>
      <c r="AO7" s="14">
        <f>SUM('Entity Inputs'!AO7,'Entity Inputs'!AO13)</f>
        <v>6.0</v>
      </c>
      <c r="AP7" s="14">
        <f>SUM('Entity Inputs'!AP7,'Entity Inputs'!AP13)</f>
        <v>977.0</v>
      </c>
      <c r="AQ7" s="14">
        <f>SUM('Entity Inputs'!AQ7,'Entity Inputs'!AQ13)</f>
        <v>78.0</v>
      </c>
      <c r="AR7" s="14">
        <f>MIN('Entity Inputs'!AR7,'Entity Inputs'!AR13)</f>
        <v>125</v>
      </c>
      <c r="AS7" s="14">
        <f>SUM('Entity Inputs'!AS7,'Entity Inputs'!AS13)</f>
        <v>635438.0</v>
      </c>
      <c r="AT7" s="14">
        <f>SUM('Entity Inputs'!AT7,'Entity Inputs'!AT13)</f>
        <v>676173.0</v>
      </c>
      <c r="AU7" s="14">
        <f>SUM('Entity Inputs'!AU7,'Entity Inputs'!AU13)</f>
        <v>2384701.9</v>
      </c>
      <c r="AV7" s="14">
        <f>SUM('Entity Inputs'!AV7,'Entity Inputs'!AV13)</f>
        <v>2542410.4</v>
      </c>
      <c r="AW7" s="14">
        <f>SUM('Entity Inputs'!AW7,'Entity Inputs'!AW13)</f>
        <v>109507.9</v>
      </c>
      <c r="AX7" s="14">
        <f>SUM('Entity Inputs'!AX7,'Entity Inputs'!AX13)</f>
        <v>88574.3</v>
      </c>
      <c r="AY7" s="14">
        <f>SUM('Entity Inputs'!AY7,'Entity Inputs'!AY13)</f>
        <v>1331.0</v>
      </c>
      <c r="AZ7" s="14">
        <f>SUM('Entity Inputs'!AZ7,'Entity Inputs'!AZ13)</f>
        <v>1223.0</v>
      </c>
      <c r="BA7" s="14">
        <f>SUM('Entity Inputs'!BA7,'Entity Inputs'!BA13)</f>
        <v>686998.0</v>
      </c>
      <c r="BB7" s="14">
        <f>SUM('Entity Inputs'!BB7,'Entity Inputs'!BB13)</f>
        <v>658620.0</v>
      </c>
      <c r="BC7" s="14">
        <f>SUM('Entity Inputs'!BC7,'Entity Inputs'!BC13)</f>
        <v>5953.0</v>
      </c>
      <c r="BD7" s="14">
        <f>SUM('Entity Inputs'!BD7,'Entity Inputs'!BD13)</f>
        <v>5208.0</v>
      </c>
      <c r="BE7" s="14">
        <f>SUM('Entity Inputs'!BE7,'Entity Inputs'!BE13)</f>
        <v>5337.0</v>
      </c>
      <c r="BF7" s="14">
        <f>SUM('Entity Inputs'!BF7,'Entity Inputs'!BF13)</f>
        <v>1045229.7999999999</v>
      </c>
      <c r="BG7" s="14">
        <f>SUM('Entity Inputs'!BG7,'Entity Inputs'!BG13)</f>
        <v>378014.8</v>
      </c>
      <c r="BH7" s="14">
        <f>SUM('Entity Inputs'!BH7,'Entity Inputs'!BH13)</f>
        <v>0.0</v>
      </c>
      <c r="BI7" s="14">
        <f>SUM('Entity Inputs'!BI7,'Entity Inputs'!BI13)</f>
        <v>1.0</v>
      </c>
      <c r="BJ7" s="14">
        <f>SUM('Entity Inputs'!BJ7,'Entity Inputs'!BJ13)</f>
        <v>2.0</v>
      </c>
      <c r="BK7" s="14">
        <f>SUM('Entity Inputs'!BK7,'Entity Inputs'!BK13)</f>
        <v>2.0</v>
      </c>
      <c r="BL7" s="14">
        <f>SUM('Entity Inputs'!BL7,'Entity Inputs'!BL13)</f>
        <v>4.0</v>
      </c>
      <c r="BM7" s="14">
        <f>SUM('Entity Inputs'!BM7,'Entity Inputs'!BM13)</f>
        <v>0.0</v>
      </c>
      <c r="BN7" s="14">
        <f>SUM('Entity Inputs'!BN7,'Entity Inputs'!BN13)</f>
        <v>1.0</v>
      </c>
      <c r="BO7" s="14">
        <f>SUM('Entity Inputs'!BO7,'Entity Inputs'!BO13)</f>
        <v>0.0</v>
      </c>
      <c r="BP7" s="14">
        <f>SUM('Entity Inputs'!BP7,'Entity Inputs'!BP13)</f>
        <v>0.0</v>
      </c>
      <c r="BQ7" s="14">
        <f>SUM('Entity Inputs'!BQ7,'Entity Inputs'!BQ13)</f>
        <v>0.0</v>
      </c>
      <c r="BR7" s="14">
        <f>SUM('Entity Inputs'!BR7,'Entity Inputs'!BR13)</f>
        <v>0.0</v>
      </c>
      <c r="BS7" s="14">
        <f>MIN('Entity Inputs'!BS7,'Entity Inputs'!BS13)</f>
        <v>12</v>
      </c>
      <c r="BT7" s="14">
        <f>SUM('Entity Inputs'!BT7,'Entity Inputs'!BT13)</f>
        <v>682196.0</v>
      </c>
      <c r="BU7" s="14">
        <f>SUM('Entity Inputs'!BU7,'Entity Inputs'!BU13)</f>
        <v>675253.0</v>
      </c>
      <c r="BV7" s="14">
        <f>SUM('Entity Inputs'!BV7,'Entity Inputs'!BV13)</f>
        <v>290381779.0</v>
      </c>
      <c r="BW7" s="14">
        <f>SUM('Entity Inputs'!BW7,'Entity Inputs'!BW13)</f>
        <v>770386.0</v>
      </c>
      <c r="BX7" s="14">
        <f>SUM('Entity Inputs'!BX7,'Entity Inputs'!BX13)</f>
        <v>32772.0</v>
      </c>
      <c r="BY7" s="14">
        <f>SUM('Entity Inputs'!BY7,'Entity Inputs'!BY13)</f>
        <v>109216.8</v>
      </c>
      <c r="BZ7" s="14">
        <f>SUM('Entity Inputs'!BZ7,'Entity Inputs'!BZ13)</f>
        <v>62968.399999999994</v>
      </c>
      <c r="CA7" s="14">
        <f>SUM('Entity Inputs'!CA7,'Entity Inputs'!CA13)</f>
        <v>21049600.0</v>
      </c>
      <c r="CB7" s="14">
        <f>SUM('Entity Inputs'!CB7,'Entity Inputs'!CB13)</f>
        <v>8932071.2</v>
      </c>
      <c r="CC7" s="14">
        <f>SUM('Entity Inputs'!CC7,'Entity Inputs'!CC13)</f>
        <v>2142071.2</v>
      </c>
      <c r="CD7" s="14">
        <f>SUM('Entity Inputs'!CD7,'Entity Inputs'!CD13)</f>
        <v>900739.8</v>
      </c>
      <c r="CE7" s="14">
        <f>SUM('Entity Inputs'!CE7,'Entity Inputs'!CE13)</f>
        <v>71295.0</v>
      </c>
      <c r="CF7" s="14">
        <f>SUM('Entity Inputs'!CF7,'Entity Inputs'!CF13)</f>
        <v>910310.3</v>
      </c>
      <c r="CG7" s="14">
        <f>SUM('Entity Inputs'!CG7,'Entity Inputs'!CG13)</f>
        <v>2622480.8</v>
      </c>
      <c r="CH7" s="14">
        <f>SUM('Entity Inputs'!CH7,'Entity Inputs'!CH13)</f>
        <v>297861.9</v>
      </c>
      <c r="CI7" s="14">
        <f>SUM('Entity Inputs'!CI7,'Entity Inputs'!CI13)</f>
        <v>2387045.5</v>
      </c>
      <c r="CJ7" s="14">
        <f>SUM('Entity Inputs'!CJ7,'Entity Inputs'!CJ13)</f>
        <v>3694900.6</v>
      </c>
      <c r="CK7" s="14">
        <f>SUM('Entity Inputs'!CK7,'Entity Inputs'!CK13)</f>
        <v>3257654.4</v>
      </c>
      <c r="CL7" s="14">
        <f>SUM('Entity Inputs'!CL7,'Entity Inputs'!CL13)</f>
        <v>2355477.0999999996</v>
      </c>
      <c r="CM7" s="14">
        <f>SUM('Entity Inputs'!CM7,'Entity Inputs'!CM13)</f>
        <v>2349520.7</v>
      </c>
      <c r="CN7" s="14">
        <f>SUM('Entity Inputs'!CN7,'Entity Inputs'!CN13)</f>
        <v>3607.0</v>
      </c>
      <c r="CO7" s="14">
        <f>SUM('Entity Inputs'!CO7,'Entity Inputs'!CO13)</f>
        <v>197786.9</v>
      </c>
      <c r="CP7" s="14">
        <f>SUM('Entity Inputs'!CP7,'Entity Inputs'!CP13)</f>
        <v>197786.9</v>
      </c>
      <c r="CQ7" s="14">
        <f>SUM('Entity Inputs'!CQ7,'Entity Inputs'!CQ13)</f>
        <v>780.0</v>
      </c>
      <c r="CR7" s="14">
        <f>SUM('Entity Inputs'!CR7,'Entity Inputs'!CR13)</f>
        <v>35124.0</v>
      </c>
      <c r="CS7" s="14">
        <f>SUM('Entity Inputs'!CS7,'Entity Inputs'!CS13)</f>
        <v>35100.0</v>
      </c>
      <c r="CT7" s="14">
        <f>SUM('Entity Inputs'!CT7,'Entity Inputs'!CT13)</f>
        <v>1.0</v>
      </c>
      <c r="CU7" s="14">
        <f>SUM('Entity Inputs'!CU7,'Entity Inputs'!CU13)</f>
        <v>1780285.1</v>
      </c>
      <c r="CV7" s="14">
        <f>SUM('Entity Inputs'!CV7,'Entity Inputs'!CV13)</f>
        <v>1794265.0</v>
      </c>
      <c r="CW7" s="14">
        <f>SUM('Entity Inputs'!CW7,'Entity Inputs'!CW13)</f>
        <v>312111.80000000005</v>
      </c>
      <c r="CX7" s="14">
        <f>SUM('Entity Inputs'!CX7,'Entity Inputs'!CX13)</f>
        <v>6723079.199999999</v>
      </c>
      <c r="CY7" s="14">
        <f>SUM('Entity Inputs'!CY7,'Entity Inputs'!CY13)</f>
        <v>3531953.4000000004</v>
      </c>
      <c r="CZ7" s="14">
        <f>SUM('Entity Inputs'!CZ7,'Entity Inputs'!CZ13)</f>
        <v>793744.0</v>
      </c>
      <c r="DA7" s="14">
        <f>SUM('Entity Inputs'!DA7,'Entity Inputs'!DA13)</f>
        <v>565960.4</v>
      </c>
      <c r="DB7" s="14">
        <f>SUM('Entity Inputs'!DB7,'Entity Inputs'!DB13)</f>
        <v>648543.4</v>
      </c>
      <c r="DC7" s="14">
        <f>SUM('Entity Inputs'!DC7,'Entity Inputs'!DC13)</f>
        <v>465577.7</v>
      </c>
      <c r="DD7" s="14">
        <f>SUM('Entity Inputs'!DD7,'Entity Inputs'!DD13)</f>
        <v>12843.1</v>
      </c>
      <c r="DE7" s="14">
        <f>SUM('Entity Inputs'!DE7,'Entity Inputs'!DE13)</f>
        <v>14184.900000000001</v>
      </c>
      <c r="DF7" s="14">
        <f>SUM('Entity Inputs'!DF7,'Entity Inputs'!DF13)</f>
        <v>4635623.9</v>
      </c>
      <c r="DG7" s="14">
        <f>SUM('Entity Inputs'!DG7,'Entity Inputs'!DG13)</f>
        <v>3172453.0999999996</v>
      </c>
      <c r="DH7" s="14">
        <f>SUM('Entity Inputs'!DH7,'Entity Inputs'!DH13)</f>
        <v>1860000.0</v>
      </c>
      <c r="DI7" s="14">
        <f>SUM('Entity Inputs'!DI7,'Entity Inputs'!DI13)</f>
        <v>1134853.5</v>
      </c>
      <c r="DJ7" s="14">
        <f>SUM('Entity Inputs'!DJ7,'Entity Inputs'!DJ13)</f>
        <v>147622.4</v>
      </c>
      <c r="DK7" s="14">
        <f>SUM('Entity Inputs'!DK7,'Entity Inputs'!DK13)</f>
        <v>961800.0</v>
      </c>
      <c r="DL7" s="14">
        <f>SUM('Entity Inputs'!DL7,'Entity Inputs'!DL13)</f>
        <v>153971.0</v>
      </c>
      <c r="DM7" s="14">
        <f>SUM('Entity Inputs'!DM7,'Entity Inputs'!DM13)</f>
        <v>9.0</v>
      </c>
      <c r="DN7" s="14">
        <f>SUM('Entity Inputs'!DN7,'Entity Inputs'!DN13)</f>
        <v>2.0</v>
      </c>
      <c r="DO7" s="14">
        <f>SUM('Entity Inputs'!DO7,'Entity Inputs'!DO13)</f>
        <v>0.0</v>
      </c>
      <c r="DP7" s="14">
        <f>SUM('Entity Inputs'!DP7,'Entity Inputs'!DP13)</f>
        <v>1.0</v>
      </c>
      <c r="DQ7" s="14">
        <f>SUM('Entity Inputs'!DQ7,'Entity Inputs'!DQ13)</f>
        <v>10.0</v>
      </c>
      <c r="DR7" s="14">
        <f>SUM('Entity Inputs'!DR7,'Entity Inputs'!DR13)</f>
        <v>21.0</v>
      </c>
      <c r="DS7" s="14">
        <f>SUM('Entity Inputs'!DS7,'Entity Inputs'!DS13)</f>
        <v>15.0</v>
      </c>
      <c r="DT7" s="14">
        <f>SUM('Entity Inputs'!DT7,'Entity Inputs'!DT13)</f>
        <v>6.0</v>
      </c>
      <c r="DU7" s="14">
        <f>SUM('Entity Inputs'!DU7,'Entity Inputs'!DU13)</f>
        <v>3.0</v>
      </c>
      <c r="DV7" s="14">
        <f>SUM('Entity Inputs'!DV7,'Entity Inputs'!DV13)</f>
        <v>124.0</v>
      </c>
      <c r="DW7" s="14">
        <f>SUM('Entity Inputs'!DW7,'Entity Inputs'!DW13)</f>
        <v>55.0</v>
      </c>
      <c r="DX7" s="14">
        <f>SUM('Entity Inputs'!DX7,'Entity Inputs'!DX13)</f>
        <v>14496.300000000001</v>
      </c>
      <c r="DY7" s="14">
        <f>SUM('Entity Inputs'!DY7,'Entity Inputs'!DY13)</f>
        <v>7092.0</v>
      </c>
      <c r="DZ7" s="14">
        <f>SUM('Entity Inputs'!DZ7,'Entity Inputs'!DZ13)</f>
        <v>2378.6</v>
      </c>
      <c r="EA7" s="14">
        <f>SUM('Entity Inputs'!EA7,'Entity Inputs'!EA13)</f>
        <v>1484.8999999999999</v>
      </c>
      <c r="EB7" s="14">
        <f>SUM('Entity Inputs'!EB7,'Entity Inputs'!EB13)</f>
        <v>1910.6</v>
      </c>
      <c r="EC7" s="14">
        <f>SUM('Entity Inputs'!EC7,'Entity Inputs'!EC13)</f>
        <v>140.0</v>
      </c>
      <c r="ED7" s="14">
        <f>SUM('Entity Inputs'!ED7,'Entity Inputs'!ED13)</f>
        <v>133.0</v>
      </c>
      <c r="EE7" s="14">
        <f>SUM('Entity Inputs'!EE7,'Entity Inputs'!EE13)</f>
        <v>5.0</v>
      </c>
      <c r="EF7" s="14">
        <f>SUM('Entity Inputs'!EF7,'Entity Inputs'!EF13)</f>
        <v>1.0</v>
      </c>
      <c r="EG7" s="14">
        <f>SUM('Entity Inputs'!EG7,'Entity Inputs'!EG13)</f>
        <v>3.0</v>
      </c>
      <c r="EH7" s="14">
        <f>SUM('Entity Inputs'!EH7,'Entity Inputs'!EH13)</f>
        <v>1.0</v>
      </c>
      <c r="EI7" s="14">
        <f>SUM('Entity Inputs'!EI7,'Entity Inputs'!EI13)</f>
        <v>0.0</v>
      </c>
      <c r="EJ7" s="14">
        <f>SUM('Entity Inputs'!EJ7,'Entity Inputs'!EJ13)</f>
        <v>2.0</v>
      </c>
      <c r="EK7" s="14">
        <f>SUM('Entity Inputs'!EK7,'Entity Inputs'!EK13)</f>
        <v>1.0</v>
      </c>
      <c r="EL7" s="14">
        <f>SUM('Entity Inputs'!EL7,'Entity Inputs'!EL13)</f>
        <v>1.0</v>
      </c>
      <c r="EM7" s="14">
        <f>SUM('Entity Inputs'!EM7,'Entity Inputs'!EM13)</f>
        <v>0.0</v>
      </c>
      <c r="EN7" s="14">
        <f>SUM('Entity Inputs'!EN7,'Entity Inputs'!EN13)</f>
        <v>0.0</v>
      </c>
      <c r="EO7" s="14">
        <f>SUM('Entity Inputs'!EO7,'Entity Inputs'!EO13)</f>
        <v>0.0</v>
      </c>
      <c r="EP7" s="14">
        <f>SUM('Entity Inputs'!EP7,'Entity Inputs'!EP13)</f>
        <v>0.0</v>
      </c>
      <c r="EQ7" s="14">
        <f>SUM('Entity Inputs'!EQ7,'Entity Inputs'!EQ13)</f>
        <v>1.0</v>
      </c>
      <c r="ER7" s="14">
        <f>SUM('Entity Inputs'!ER7,'Entity Inputs'!ER13)</f>
        <v>1.0</v>
      </c>
      <c r="ES7" s="14">
        <f>SUM('Entity Inputs'!ES7,'Entity Inputs'!ES13)</f>
        <v>0.0</v>
      </c>
      <c r="ET7" s="14">
        <f>SUM('Entity Inputs'!ET7,'Entity Inputs'!ET13)</f>
        <v>1.0</v>
      </c>
      <c r="EU7" s="14">
        <f>SUM('Entity Inputs'!EU7,'Entity Inputs'!EU13)</f>
        <v>7.0</v>
      </c>
      <c r="EV7" s="14">
        <f>SUM('Entity Inputs'!EV7,'Entity Inputs'!EV13)</f>
        <v>0.0</v>
      </c>
      <c r="EW7" s="14">
        <f>SUM('Entity Inputs'!EW7,'Entity Inputs'!EW13)</f>
        <v>1.0</v>
      </c>
      <c r="EX7" s="14">
        <f>SUM('Entity Inputs'!EX7,'Entity Inputs'!EX13)</f>
        <v>1.0</v>
      </c>
      <c r="EY7" s="14">
        <f>SUM('Entity Inputs'!EY7,'Entity Inputs'!EY13)</f>
        <v>108.0</v>
      </c>
      <c r="EZ7" s="14">
        <f>SUM('Entity Inputs'!EZ7,'Entity Inputs'!EZ13)</f>
        <v>96.0</v>
      </c>
      <c r="FA7" s="14">
        <f>SUM('Entity Inputs'!FA7,'Entity Inputs'!FA13)</f>
        <v>4.0</v>
      </c>
      <c r="FB7" s="14">
        <f>SUM('Entity Inputs'!FB7,'Entity Inputs'!FB13)</f>
        <v>118.0</v>
      </c>
      <c r="FC7" s="14">
        <f>SUM('Entity Inputs'!FC7,'Entity Inputs'!FC13)</f>
        <v>56.0</v>
      </c>
      <c r="FD7" s="14">
        <f>SUM('Entity Inputs'!FD7,'Entity Inputs'!FD13)</f>
        <v>47.0</v>
      </c>
      <c r="FE7" s="14">
        <f>SUM('Entity Inputs'!FE7,'Entity Inputs'!FE13)</f>
        <v>52.0</v>
      </c>
      <c r="FF7" s="14">
        <f>SUM('Entity Inputs'!FF7,'Entity Inputs'!FF13)</f>
        <v>1.0</v>
      </c>
      <c r="FG7" s="14">
        <f>SUM('Entity Inputs'!FG7,'Entity Inputs'!FG13)</f>
        <v>1.0</v>
      </c>
      <c r="FH7" s="14">
        <f>SUM('Entity Inputs'!FH7,'Entity Inputs'!FH13)</f>
        <v>0.0</v>
      </c>
      <c r="FI7" s="14">
        <f>SUM('Entity Inputs'!FI7,'Entity Inputs'!FI13)</f>
        <v>1029162.0</v>
      </c>
      <c r="FJ7" s="14">
        <f>SUM('Entity Inputs'!FJ7,'Entity Inputs'!FJ13)</f>
        <v>1018610.0</v>
      </c>
      <c r="FK7" s="14">
        <f>SUM('Entity Inputs'!FK7,'Entity Inputs'!FK13)</f>
        <v>820.0</v>
      </c>
      <c r="FL7" s="14">
        <f>SUM('Entity Inputs'!FL7,'Entity Inputs'!FL13)</f>
        <v>795.0</v>
      </c>
      <c r="FM7" s="14">
        <f>SUM('Entity Inputs'!FM7,'Entity Inputs'!FM13)</f>
        <v>0.0</v>
      </c>
      <c r="FN7" s="14">
        <f>SUM('Entity Inputs'!FN7,'Entity Inputs'!FN13)</f>
        <v>0.0</v>
      </c>
      <c r="FO7" s="14">
        <f>SUM('Entity Inputs'!FO7,'Entity Inputs'!FO13)</f>
        <v>0.0</v>
      </c>
      <c r="FP7" s="14">
        <f>SUM('Entity Inputs'!FP7,'Entity Inputs'!FP13)</f>
        <v>8.0</v>
      </c>
      <c r="FQ7" s="14">
        <f>SUM('Entity Inputs'!FQ7,'Entity Inputs'!FQ13)</f>
        <v>20.5</v>
      </c>
      <c r="FR7" s="14">
        <f>SUM('Entity Inputs'!FR7,'Entity Inputs'!FR13)</f>
        <v>11.0</v>
      </c>
      <c r="FS7" s="14">
        <f>SUM('Entity Inputs'!FS7,'Entity Inputs'!FS13)</f>
        <v>2.0</v>
      </c>
      <c r="FT7" s="14">
        <f>SUM('Entity Inputs'!FT7,'Entity Inputs'!FT13)</f>
        <v>2.0</v>
      </c>
      <c r="FU7" s="14">
        <f>SUM('Entity Inputs'!FU7,'Entity Inputs'!FU13)</f>
        <v>2.0</v>
      </c>
      <c r="FV7" s="15">
        <f>AU7-V7-X7-BY7</f>
        <v>297955.0999999998</v>
      </c>
      <c r="FW7" s="15">
        <f>FV7-AX7</f>
        <v>209380.7999999998</v>
      </c>
      <c r="FX7" s="15">
        <f>CJ7+CL7-CK7</f>
        <v>2792723.2999999993</v>
      </c>
      <c r="FY7" s="15">
        <f>FX7-FX6</f>
        <v>42361.39999999991</v>
      </c>
      <c r="FZ7" s="15">
        <f>FV7-BZ7-FY7</f>
        <v>192625.2999999999</v>
      </c>
      <c r="GA7" s="15">
        <f>FZ7-DJ7</f>
        <v>45002.89999999991</v>
      </c>
      <c r="GB7" s="15">
        <f>CB7-CC7</f>
        <v>6789999.999999999</v>
      </c>
      <c r="GC7" s="15">
        <f>SUM(FV$4:FV7)*12/D7</f>
        <v>3343251.8999999985</v>
      </c>
      <c r="GD7" s="15">
        <f>IF(AU7=0,0,CJ7/AU7*C7)</f>
        <v>48.0319651693153</v>
      </c>
      <c r="GE7" s="15">
        <f>IF(V7=0,0,CK7/V7*C7)</f>
        <v>51.25663928100924</v>
      </c>
      <c r="GF7" s="15">
        <f>IF(V7=0,0,CL7/V7*C7)</f>
        <v>37.06158641302703</v>
      </c>
      <c r="GG7" s="15">
        <f>IF(OR(AS7=0,AT7=0,AV7=0),0,100*((AU7/AS7)/(AV7/AT7)-1))</f>
        <v>-0.19022332939020448</v>
      </c>
    </row>
    <row r="8" spans="1:189">
      <c r="A8" t="s">
        <v>15</v>
      </c>
      <c r="B8" t="s">
        <v>176</v>
      </c>
      <c r="C8">
        <v>31</v>
      </c>
      <c r="D8">
        <v>5</v>
      </c>
      <c r="E8" s="14">
        <f>SUM('Entity Inputs'!E8,'Entity Inputs'!E14)</f>
        <v>4464.0</v>
      </c>
      <c r="F8" s="14">
        <f>SUM('Entity Inputs'!F8,'Entity Inputs'!F14)</f>
        <v>4280.0</v>
      </c>
      <c r="G8" s="14">
        <f>SUM('Entity Inputs'!G8,'Entity Inputs'!G14)</f>
        <v>4022.0</v>
      </c>
      <c r="H8" s="14">
        <f>SUM('Entity Inputs'!H8,'Entity Inputs'!H14)</f>
        <v>164.0</v>
      </c>
      <c r="I8" s="14">
        <f>SUM('Entity Inputs'!I8,'Entity Inputs'!I14)</f>
        <v>743292.0</v>
      </c>
      <c r="J8" s="14">
        <f>SUM('Entity Inputs'!J8,'Entity Inputs'!J14)</f>
        <v>774802.0</v>
      </c>
      <c r="K8" s="14">
        <f>SUM('Entity Inputs'!K8,'Entity Inputs'!K14)</f>
        <v>661605.0</v>
      </c>
      <c r="L8" s="14">
        <f>SUM('Entity Inputs'!L8,'Entity Inputs'!L14)</f>
        <v>626623.0</v>
      </c>
      <c r="M8" s="14">
        <f>SUM('Entity Inputs'!M8,'Entity Inputs'!M14)</f>
        <v>611088.0</v>
      </c>
      <c r="N8" s="14">
        <f>SUM('Entity Inputs'!N8,'Entity Inputs'!N14)</f>
        <v>670841.0</v>
      </c>
      <c r="O8" s="14">
        <f>SUM('Entity Inputs'!O8,'Entity Inputs'!O14)</f>
        <v>151700.0</v>
      </c>
      <c r="P8" s="14">
        <f>SUM('Entity Inputs'!P8,'Entity Inputs'!P14)</f>
        <v>134276.0</v>
      </c>
      <c r="Q8" s="14">
        <f>SUM('Entity Inputs'!Q8,'Entity Inputs'!Q14)</f>
        <v>30108.0</v>
      </c>
      <c r="R8" s="14">
        <f>SUM('Entity Inputs'!R8,'Entity Inputs'!R14)</f>
        <v>19.0</v>
      </c>
      <c r="S8" s="14">
        <f>SUM('Entity Inputs'!S8,'Entity Inputs'!S14)</f>
        <v>131.2</v>
      </c>
      <c r="T8" s="14">
        <f>SUM('Entity Inputs'!T8,'Entity Inputs'!T14)</f>
        <v>233.0</v>
      </c>
      <c r="U8" s="14">
        <f>SUM('Entity Inputs'!U8,'Entity Inputs'!U14)</f>
        <v>229.0</v>
      </c>
      <c r="V8" s="14">
        <f>SUM('Entity Inputs'!V8,'Entity Inputs'!V14)</f>
        <v>1926079.2000000002</v>
      </c>
      <c r="W8" s="14">
        <f>SUM('Entity Inputs'!W8,'Entity Inputs'!W14)</f>
        <v>544908.7</v>
      </c>
      <c r="X8" s="14">
        <f>SUM('Entity Inputs'!X8,'Entity Inputs'!X14)</f>
        <v>7866.1</v>
      </c>
      <c r="Y8" s="14">
        <f>SUM('Entity Inputs'!Y8,'Entity Inputs'!Y14)</f>
        <v>1363699.0</v>
      </c>
      <c r="Z8" s="14">
        <f>SUM('Entity Inputs'!Z8,'Entity Inputs'!Z14)</f>
        <v>410412.0</v>
      </c>
      <c r="AA8" s="14">
        <f>SUM('Entity Inputs'!AA8,'Entity Inputs'!AA14)</f>
        <v>2150639.0</v>
      </c>
      <c r="AB8" s="14">
        <f>SUM('Entity Inputs'!AB8,'Entity Inputs'!AB14)</f>
        <v>44820.0</v>
      </c>
      <c r="AC8" s="14">
        <f>SUM('Entity Inputs'!AC8,'Entity Inputs'!AC14)</f>
        <v>11.0</v>
      </c>
      <c r="AD8" s="14">
        <f>SUM('Entity Inputs'!AD8,'Entity Inputs'!AD14)</f>
        <v>388000.0</v>
      </c>
      <c r="AE8" s="14">
        <f>SUM('Entity Inputs'!AE8,'Entity Inputs'!AE14)</f>
        <v>3.0</v>
      </c>
      <c r="AF8" s="14">
        <f>SUM('Entity Inputs'!AF8,'Entity Inputs'!AF14)</f>
        <v>1.0</v>
      </c>
      <c r="AG8" s="14">
        <f>SUM('Entity Inputs'!AG8,'Entity Inputs'!AG14)</f>
        <v>42.0</v>
      </c>
      <c r="AH8" s="14">
        <f>SUM('Entity Inputs'!AH8,'Entity Inputs'!AH14)</f>
        <v>1.0</v>
      </c>
      <c r="AI8" s="14">
        <f>SUM('Entity Inputs'!AI8,'Entity Inputs'!AI14)</f>
        <v>1.0</v>
      </c>
      <c r="AJ8" s="14">
        <f>SUM('Entity Inputs'!AJ8,'Entity Inputs'!AJ14)</f>
        <v>0.0</v>
      </c>
      <c r="AK8" s="14">
        <f>SUM('Entity Inputs'!AK8,'Entity Inputs'!AK14)</f>
        <v>44.0</v>
      </c>
      <c r="AL8" s="14">
        <f>SUM('Entity Inputs'!AL8,'Entity Inputs'!AL14)</f>
        <v>3.0</v>
      </c>
      <c r="AM8" s="14">
        <f>SUM('Entity Inputs'!AM8,'Entity Inputs'!AM14)</f>
        <v>11.0</v>
      </c>
      <c r="AN8" s="14">
        <f>SUM('Entity Inputs'!AN8,'Entity Inputs'!AN14)</f>
        <v>10.0</v>
      </c>
      <c r="AO8" s="14">
        <f>SUM('Entity Inputs'!AO8,'Entity Inputs'!AO14)</f>
        <v>6.0</v>
      </c>
      <c r="AP8" s="14">
        <f>SUM('Entity Inputs'!AP8,'Entity Inputs'!AP14)</f>
        <v>1075.0</v>
      </c>
      <c r="AQ8" s="14">
        <f>SUM('Entity Inputs'!AQ8,'Entity Inputs'!AQ14)</f>
        <v>82.0</v>
      </c>
      <c r="AR8" s="14">
        <f>MIN('Entity Inputs'!AR8,'Entity Inputs'!AR14)</f>
        <v>95</v>
      </c>
      <c r="AS8" s="14">
        <f>SUM('Entity Inputs'!AS8,'Entity Inputs'!AS14)</f>
        <v>610022.0</v>
      </c>
      <c r="AT8" s="14">
        <f>SUM('Entity Inputs'!AT8,'Entity Inputs'!AT14)</f>
        <v>660188.0</v>
      </c>
      <c r="AU8" s="14">
        <f>SUM('Entity Inputs'!AU8,'Entity Inputs'!AU14)</f>
        <v>2287029.2</v>
      </c>
      <c r="AV8" s="14">
        <f>SUM('Entity Inputs'!AV8,'Entity Inputs'!AV14)</f>
        <v>2482306.8</v>
      </c>
      <c r="AW8" s="14">
        <f>SUM('Entity Inputs'!AW8,'Entity Inputs'!AW14)</f>
        <v>114697.2</v>
      </c>
      <c r="AX8" s="14">
        <f>SUM('Entity Inputs'!AX8,'Entity Inputs'!AX14)</f>
        <v>88167.3</v>
      </c>
      <c r="AY8" s="14">
        <f>SUM('Entity Inputs'!AY8,'Entity Inputs'!AY14)</f>
        <v>1280.0</v>
      </c>
      <c r="AZ8" s="14">
        <f>SUM('Entity Inputs'!AZ8,'Entity Inputs'!AZ14)</f>
        <v>1167.0</v>
      </c>
      <c r="BA8" s="14">
        <f>SUM('Entity Inputs'!BA8,'Entity Inputs'!BA14)</f>
        <v>669580.0</v>
      </c>
      <c r="BB8" s="14">
        <f>SUM('Entity Inputs'!BB8,'Entity Inputs'!BB14)</f>
        <v>649013.0</v>
      </c>
      <c r="BC8" s="14">
        <f>SUM('Entity Inputs'!BC8,'Entity Inputs'!BC14)</f>
        <v>8615.0</v>
      </c>
      <c r="BD8" s="14">
        <f>SUM('Entity Inputs'!BD8,'Entity Inputs'!BD14)</f>
        <v>5068.0</v>
      </c>
      <c r="BE8" s="14">
        <f>SUM('Entity Inputs'!BE8,'Entity Inputs'!BE14)</f>
        <v>5196.0</v>
      </c>
      <c r="BF8" s="14">
        <f>SUM('Entity Inputs'!BF8,'Entity Inputs'!BF14)</f>
        <v>1023859.2000000001</v>
      </c>
      <c r="BG8" s="14">
        <f>SUM('Entity Inputs'!BG8,'Entity Inputs'!BG14)</f>
        <v>376580.2</v>
      </c>
      <c r="BH8" s="14">
        <f>SUM('Entity Inputs'!BH8,'Entity Inputs'!BH14)</f>
        <v>0.0</v>
      </c>
      <c r="BI8" s="14">
        <f>SUM('Entity Inputs'!BI8,'Entity Inputs'!BI14)</f>
        <v>0.0</v>
      </c>
      <c r="BJ8" s="14">
        <f>SUM('Entity Inputs'!BJ8,'Entity Inputs'!BJ14)</f>
        <v>0.0</v>
      </c>
      <c r="BK8" s="14">
        <f>SUM('Entity Inputs'!BK8,'Entity Inputs'!BK14)</f>
        <v>2.0</v>
      </c>
      <c r="BL8" s="14">
        <f>SUM('Entity Inputs'!BL8,'Entity Inputs'!BL14)</f>
        <v>4.0</v>
      </c>
      <c r="BM8" s="14">
        <f>SUM('Entity Inputs'!BM8,'Entity Inputs'!BM14)</f>
        <v>0.0</v>
      </c>
      <c r="BN8" s="14">
        <f>SUM('Entity Inputs'!BN8,'Entity Inputs'!BN14)</f>
        <v>1.0</v>
      </c>
      <c r="BO8" s="14">
        <f>SUM('Entity Inputs'!BO8,'Entity Inputs'!BO14)</f>
        <v>0.0</v>
      </c>
      <c r="BP8" s="14">
        <f>SUM('Entity Inputs'!BP8,'Entity Inputs'!BP14)</f>
        <v>0.0</v>
      </c>
      <c r="BQ8" s="14">
        <f>SUM('Entity Inputs'!BQ8,'Entity Inputs'!BQ14)</f>
        <v>0.0</v>
      </c>
      <c r="BR8" s="14">
        <f>SUM('Entity Inputs'!BR8,'Entity Inputs'!BR14)</f>
        <v>0.0</v>
      </c>
      <c r="BS8" s="14">
        <f>MIN('Entity Inputs'!BS8,'Entity Inputs'!BS14)</f>
        <v>10</v>
      </c>
      <c r="BT8" s="14">
        <f>SUM('Entity Inputs'!BT8,'Entity Inputs'!BT14)</f>
        <v>664556.0</v>
      </c>
      <c r="BU8" s="14">
        <f>SUM('Entity Inputs'!BU8,'Entity Inputs'!BU14)</f>
        <v>659868.0</v>
      </c>
      <c r="BV8" s="14">
        <f>SUM('Entity Inputs'!BV8,'Entity Inputs'!BV14)</f>
        <v>277302717.0</v>
      </c>
      <c r="BW8" s="14">
        <f>SUM('Entity Inputs'!BW8,'Entity Inputs'!BW14)</f>
        <v>743292.0</v>
      </c>
      <c r="BX8" s="14">
        <f>SUM('Entity Inputs'!BX8,'Entity Inputs'!BX14)</f>
        <v>28337.0</v>
      </c>
      <c r="BY8" s="14">
        <f>SUM('Entity Inputs'!BY8,'Entity Inputs'!BY14)</f>
        <v>104388.3</v>
      </c>
      <c r="BZ8" s="14">
        <f>SUM('Entity Inputs'!BZ8,'Entity Inputs'!BZ14)</f>
        <v>49875.8</v>
      </c>
      <c r="CA8" s="14">
        <f>SUM('Entity Inputs'!CA8,'Entity Inputs'!CA14)</f>
        <v>21132800.0</v>
      </c>
      <c r="CB8" s="14">
        <f>SUM('Entity Inputs'!CB8,'Entity Inputs'!CB14)</f>
        <v>8747310.5</v>
      </c>
      <c r="CC8" s="14">
        <f>SUM('Entity Inputs'!CC8,'Entity Inputs'!CC14)</f>
        <v>2027310.5</v>
      </c>
      <c r="CD8" s="14">
        <f>SUM('Entity Inputs'!CD8,'Entity Inputs'!CD14)</f>
        <v>875899.8</v>
      </c>
      <c r="CE8" s="14">
        <f>SUM('Entity Inputs'!CE8,'Entity Inputs'!CE14)</f>
        <v>70560.0</v>
      </c>
      <c r="CF8" s="14">
        <f>SUM('Entity Inputs'!CF8,'Entity Inputs'!CF14)</f>
        <v>866117.7</v>
      </c>
      <c r="CG8" s="14">
        <f>SUM('Entity Inputs'!CG8,'Entity Inputs'!CG14)</f>
        <v>2627519.9</v>
      </c>
      <c r="CH8" s="14">
        <f>SUM('Entity Inputs'!CH8,'Entity Inputs'!CH14)</f>
        <v>248703.90000000002</v>
      </c>
      <c r="CI8" s="14">
        <f>SUM('Entity Inputs'!CI8,'Entity Inputs'!CI14)</f>
        <v>2292454.3</v>
      </c>
      <c r="CJ8" s="14">
        <f>SUM('Entity Inputs'!CJ8,'Entity Inputs'!CJ14)</f>
        <v>3505362.0999999996</v>
      </c>
      <c r="CK8" s="14">
        <f>SUM('Entity Inputs'!CK8,'Entity Inputs'!CK14)</f>
        <v>3129664.0</v>
      </c>
      <c r="CL8" s="14">
        <f>SUM('Entity Inputs'!CL8,'Entity Inputs'!CL14)</f>
        <v>2388029.9</v>
      </c>
      <c r="CM8" s="14">
        <f>SUM('Entity Inputs'!CM8,'Entity Inputs'!CM14)</f>
        <v>2282013.5</v>
      </c>
      <c r="CN8" s="14">
        <f>SUM('Entity Inputs'!CN8,'Entity Inputs'!CN14)</f>
        <v>3739.2</v>
      </c>
      <c r="CO8" s="14">
        <f>SUM('Entity Inputs'!CO8,'Entity Inputs'!CO14)</f>
        <v>182887.2</v>
      </c>
      <c r="CP8" s="14">
        <f>SUM('Entity Inputs'!CP8,'Entity Inputs'!CP14)</f>
        <v>157266.90000000002</v>
      </c>
      <c r="CQ8" s="14">
        <f>SUM('Entity Inputs'!CQ8,'Entity Inputs'!CQ14)</f>
        <v>755.0</v>
      </c>
      <c r="CR8" s="14">
        <f>SUM('Entity Inputs'!CR8,'Entity Inputs'!CR14)</f>
        <v>35040.0</v>
      </c>
      <c r="CS8" s="14">
        <f>SUM('Entity Inputs'!CS8,'Entity Inputs'!CS14)</f>
        <v>33975.0</v>
      </c>
      <c r="CT8" s="14">
        <f>SUM('Entity Inputs'!CT8,'Entity Inputs'!CT14)</f>
        <v>3.0</v>
      </c>
      <c r="CU8" s="14">
        <f>SUM('Entity Inputs'!CU8,'Entity Inputs'!CU14)</f>
        <v>1459331.5</v>
      </c>
      <c r="CV8" s="14">
        <f>SUM('Entity Inputs'!CV8,'Entity Inputs'!CV14)</f>
        <v>1498248.1</v>
      </c>
      <c r="CW8" s="14">
        <f>SUM('Entity Inputs'!CW8,'Entity Inputs'!CW14)</f>
        <v>291855.1</v>
      </c>
      <c r="CX8" s="14">
        <f>SUM('Entity Inputs'!CX8,'Entity Inputs'!CX14)</f>
        <v>6635539.4</v>
      </c>
      <c r="CY8" s="14">
        <f>SUM('Entity Inputs'!CY8,'Entity Inputs'!CY14)</f>
        <v>2926282.0</v>
      </c>
      <c r="CZ8" s="14">
        <f>SUM('Entity Inputs'!CZ8,'Entity Inputs'!CZ14)</f>
        <v>722608.9</v>
      </c>
      <c r="DA8" s="14">
        <f>SUM('Entity Inputs'!DA8,'Entity Inputs'!DA14)</f>
        <v>497079.8</v>
      </c>
      <c r="DB8" s="14">
        <f>SUM('Entity Inputs'!DB8,'Entity Inputs'!DB14)</f>
        <v>584849.6</v>
      </c>
      <c r="DC8" s="14">
        <f>SUM('Entity Inputs'!DC8,'Entity Inputs'!DC14)</f>
        <v>423930.7</v>
      </c>
      <c r="DD8" s="14">
        <f>SUM('Entity Inputs'!DD8,'Entity Inputs'!DD14)</f>
        <v>9567.6</v>
      </c>
      <c r="DE8" s="14">
        <f>SUM('Entity Inputs'!DE8,'Entity Inputs'!DE14)</f>
        <v>10289.2</v>
      </c>
      <c r="DF8" s="14">
        <f>SUM('Entity Inputs'!DF8,'Entity Inputs'!DF14)</f>
        <v>4407372.5</v>
      </c>
      <c r="DG8" s="14">
        <f>SUM('Entity Inputs'!DG8,'Entity Inputs'!DG14)</f>
        <v>3070830.9</v>
      </c>
      <c r="DH8" s="14">
        <f>SUM('Entity Inputs'!DH8,'Entity Inputs'!DH14)</f>
        <v>1860000.0</v>
      </c>
      <c r="DI8" s="14">
        <f>SUM('Entity Inputs'!DI8,'Entity Inputs'!DI14)</f>
        <v>1238527.0</v>
      </c>
      <c r="DJ8" s="14">
        <f>SUM('Entity Inputs'!DJ8,'Entity Inputs'!DJ14)</f>
        <v>151938.1</v>
      </c>
      <c r="DK8" s="14">
        <f>SUM('Entity Inputs'!DK8,'Entity Inputs'!DK14)</f>
        <v>1046800.0</v>
      </c>
      <c r="DL8" s="14">
        <f>SUM('Entity Inputs'!DL8,'Entity Inputs'!DL14)</f>
        <v>153087.80000000002</v>
      </c>
      <c r="DM8" s="14">
        <f>SUM('Entity Inputs'!DM8,'Entity Inputs'!DM14)</f>
        <v>9.0</v>
      </c>
      <c r="DN8" s="14">
        <f>SUM('Entity Inputs'!DN8,'Entity Inputs'!DN14)</f>
        <v>2.0</v>
      </c>
      <c r="DO8" s="14">
        <f>SUM('Entity Inputs'!DO8,'Entity Inputs'!DO14)</f>
        <v>0.0</v>
      </c>
      <c r="DP8" s="14">
        <f>SUM('Entity Inputs'!DP8,'Entity Inputs'!DP14)</f>
        <v>1.0</v>
      </c>
      <c r="DQ8" s="14">
        <f>SUM('Entity Inputs'!DQ8,'Entity Inputs'!DQ14)</f>
        <v>13.0</v>
      </c>
      <c r="DR8" s="14">
        <f>SUM('Entity Inputs'!DR8,'Entity Inputs'!DR14)</f>
        <v>28.0</v>
      </c>
      <c r="DS8" s="14">
        <f>SUM('Entity Inputs'!DS8,'Entity Inputs'!DS14)</f>
        <v>15.0</v>
      </c>
      <c r="DT8" s="14">
        <f>SUM('Entity Inputs'!DT8,'Entity Inputs'!DT14)</f>
        <v>6.0</v>
      </c>
      <c r="DU8" s="14">
        <f>SUM('Entity Inputs'!DU8,'Entity Inputs'!DU14)</f>
        <v>3.0</v>
      </c>
      <c r="DV8" s="14">
        <f>SUM('Entity Inputs'!DV8,'Entity Inputs'!DV14)</f>
        <v>124.0</v>
      </c>
      <c r="DW8" s="14">
        <f>SUM('Entity Inputs'!DW8,'Entity Inputs'!DW14)</f>
        <v>61.0</v>
      </c>
      <c r="DX8" s="14">
        <f>SUM('Entity Inputs'!DX8,'Entity Inputs'!DX14)</f>
        <v>14203.800000000001</v>
      </c>
      <c r="DY8" s="14">
        <f>SUM('Entity Inputs'!DY8,'Entity Inputs'!DY14)</f>
        <v>6865.9</v>
      </c>
      <c r="DZ8" s="14">
        <f>SUM('Entity Inputs'!DZ8,'Entity Inputs'!DZ14)</f>
        <v>2393.2</v>
      </c>
      <c r="EA8" s="14">
        <f>SUM('Entity Inputs'!EA8,'Entity Inputs'!EA14)</f>
        <v>1421.0</v>
      </c>
      <c r="EB8" s="14">
        <f>SUM('Entity Inputs'!EB8,'Entity Inputs'!EB14)</f>
        <v>1883.3</v>
      </c>
      <c r="EC8" s="14">
        <f>SUM('Entity Inputs'!EC8,'Entity Inputs'!EC14)</f>
        <v>140.0</v>
      </c>
      <c r="ED8" s="14">
        <f>SUM('Entity Inputs'!ED8,'Entity Inputs'!ED14)</f>
        <v>133.0</v>
      </c>
      <c r="EE8" s="14">
        <f>SUM('Entity Inputs'!EE8,'Entity Inputs'!EE14)</f>
        <v>4.0</v>
      </c>
      <c r="EF8" s="14">
        <f>SUM('Entity Inputs'!EF8,'Entity Inputs'!EF14)</f>
        <v>0.0</v>
      </c>
      <c r="EG8" s="14">
        <f>SUM('Entity Inputs'!EG8,'Entity Inputs'!EG14)</f>
        <v>3.0</v>
      </c>
      <c r="EH8" s="14">
        <f>SUM('Entity Inputs'!EH8,'Entity Inputs'!EH14)</f>
        <v>1.0</v>
      </c>
      <c r="EI8" s="14">
        <f>SUM('Entity Inputs'!EI8,'Entity Inputs'!EI14)</f>
        <v>0.0</v>
      </c>
      <c r="EJ8" s="14">
        <f>SUM('Entity Inputs'!EJ8,'Entity Inputs'!EJ14)</f>
        <v>2.0</v>
      </c>
      <c r="EK8" s="14">
        <f>SUM('Entity Inputs'!EK8,'Entity Inputs'!EK14)</f>
        <v>2.0</v>
      </c>
      <c r="EL8" s="14">
        <f>SUM('Entity Inputs'!EL8,'Entity Inputs'!EL14)</f>
        <v>2.0</v>
      </c>
      <c r="EM8" s="14">
        <f>SUM('Entity Inputs'!EM8,'Entity Inputs'!EM14)</f>
        <v>0.0</v>
      </c>
      <c r="EN8" s="14">
        <f>SUM('Entity Inputs'!EN8,'Entity Inputs'!EN14)</f>
        <v>0.0</v>
      </c>
      <c r="EO8" s="14">
        <f>SUM('Entity Inputs'!EO8,'Entity Inputs'!EO14)</f>
        <v>0.0</v>
      </c>
      <c r="EP8" s="14">
        <f>SUM('Entity Inputs'!EP8,'Entity Inputs'!EP14)</f>
        <v>0.0</v>
      </c>
      <c r="EQ8" s="14">
        <f>SUM('Entity Inputs'!EQ8,'Entity Inputs'!EQ14)</f>
        <v>4.0</v>
      </c>
      <c r="ER8" s="14">
        <f>SUM('Entity Inputs'!ER8,'Entity Inputs'!ER14)</f>
        <v>2.0</v>
      </c>
      <c r="ES8" s="14">
        <f>SUM('Entity Inputs'!ES8,'Entity Inputs'!ES14)</f>
        <v>0.0</v>
      </c>
      <c r="ET8" s="14">
        <f>SUM('Entity Inputs'!ET8,'Entity Inputs'!ET14)</f>
        <v>1.0</v>
      </c>
      <c r="EU8" s="14">
        <f>SUM('Entity Inputs'!EU8,'Entity Inputs'!EU14)</f>
        <v>8.0</v>
      </c>
      <c r="EV8" s="14">
        <f>SUM('Entity Inputs'!EV8,'Entity Inputs'!EV14)</f>
        <v>0.0</v>
      </c>
      <c r="EW8" s="14">
        <f>SUM('Entity Inputs'!EW8,'Entity Inputs'!EW14)</f>
        <v>1.0</v>
      </c>
      <c r="EX8" s="14">
        <f>SUM('Entity Inputs'!EX8,'Entity Inputs'!EX14)</f>
        <v>1.0</v>
      </c>
      <c r="EY8" s="14">
        <f>SUM('Entity Inputs'!EY8,'Entity Inputs'!EY14)</f>
        <v>108.0</v>
      </c>
      <c r="EZ8" s="14">
        <f>SUM('Entity Inputs'!EZ8,'Entity Inputs'!EZ14)</f>
        <v>95.0</v>
      </c>
      <c r="FA8" s="14">
        <f>SUM('Entity Inputs'!FA8,'Entity Inputs'!FA14)</f>
        <v>4.0</v>
      </c>
      <c r="FB8" s="14">
        <f>SUM('Entity Inputs'!FB8,'Entity Inputs'!FB14)</f>
        <v>136.0</v>
      </c>
      <c r="FC8" s="14">
        <f>SUM('Entity Inputs'!FC8,'Entity Inputs'!FC14)</f>
        <v>56.0</v>
      </c>
      <c r="FD8" s="14">
        <f>SUM('Entity Inputs'!FD8,'Entity Inputs'!FD14)</f>
        <v>47.0</v>
      </c>
      <c r="FE8" s="14">
        <f>SUM('Entity Inputs'!FE8,'Entity Inputs'!FE14)</f>
        <v>52.0</v>
      </c>
      <c r="FF8" s="14">
        <f>SUM('Entity Inputs'!FF8,'Entity Inputs'!FF14)</f>
        <v>2.0</v>
      </c>
      <c r="FG8" s="14">
        <f>SUM('Entity Inputs'!FG8,'Entity Inputs'!FG14)</f>
        <v>1.0</v>
      </c>
      <c r="FH8" s="14">
        <f>SUM('Entity Inputs'!FH8,'Entity Inputs'!FH14)</f>
        <v>1.0</v>
      </c>
      <c r="FI8" s="14">
        <f>SUM('Entity Inputs'!FI8,'Entity Inputs'!FI14)</f>
        <v>988417.0</v>
      </c>
      <c r="FJ8" s="14">
        <f>SUM('Entity Inputs'!FJ8,'Entity Inputs'!FJ14)</f>
        <v>981805.0</v>
      </c>
      <c r="FK8" s="14">
        <f>SUM('Entity Inputs'!FK8,'Entity Inputs'!FK14)</f>
        <v>820.0</v>
      </c>
      <c r="FL8" s="14">
        <f>SUM('Entity Inputs'!FL8,'Entity Inputs'!FL14)</f>
        <v>794.0</v>
      </c>
      <c r="FM8" s="14">
        <f>SUM('Entity Inputs'!FM8,'Entity Inputs'!FM14)</f>
        <v>1.0</v>
      </c>
      <c r="FN8" s="14">
        <f>SUM('Entity Inputs'!FN8,'Entity Inputs'!FN14)</f>
        <v>0.0</v>
      </c>
      <c r="FO8" s="14">
        <f>SUM('Entity Inputs'!FO8,'Entity Inputs'!FO14)</f>
        <v>0.0</v>
      </c>
      <c r="FP8" s="14">
        <f>SUM('Entity Inputs'!FP8,'Entity Inputs'!FP14)</f>
        <v>9.0</v>
      </c>
      <c r="FQ8" s="14">
        <f>SUM('Entity Inputs'!FQ8,'Entity Inputs'!FQ14)</f>
        <v>22.1</v>
      </c>
      <c r="FR8" s="14">
        <f>SUM('Entity Inputs'!FR8,'Entity Inputs'!FR14)</f>
        <v>11.0</v>
      </c>
      <c r="FS8" s="14">
        <f>SUM('Entity Inputs'!FS8,'Entity Inputs'!FS14)</f>
        <v>1.0</v>
      </c>
      <c r="FT8" s="14">
        <f>SUM('Entity Inputs'!FT8,'Entity Inputs'!FT14)</f>
        <v>2.0</v>
      </c>
      <c r="FU8" s="14">
        <f>SUM('Entity Inputs'!FU8,'Entity Inputs'!FU14)</f>
        <v>2.0</v>
      </c>
      <c r="FV8" s="15">
        <f>AU8-V8-X8-BY8</f>
        <v>248695.60000000003</v>
      </c>
      <c r="FW8" s="15">
        <f>FV8-AX8</f>
        <v>160528.30000000005</v>
      </c>
      <c r="FX8" s="15">
        <f>CJ8+CL8-CK8</f>
        <v>2763728.0</v>
      </c>
      <c r="FY8" s="15">
        <f>FX8-FX7</f>
        <v>-28995.299999999348</v>
      </c>
      <c r="FZ8" s="15">
        <f>FV8-BZ8-FY8</f>
        <v>227815.0999999994</v>
      </c>
      <c r="GA8" s="15">
        <f>FZ8-DJ8</f>
        <v>75876.99999999939</v>
      </c>
      <c r="GB8" s="15">
        <f>CB8-CC8</f>
        <v>6720000.0</v>
      </c>
      <c r="GC8" s="15">
        <f>SUM(FV$4:FV8)*12/D8</f>
        <v>3271470.9599999995</v>
      </c>
      <c r="GD8" s="15">
        <f>IF(AU8=0,0,CJ8/AU8*C8)</f>
        <v>47.514139784485465</v>
      </c>
      <c r="GE8" s="15">
        <f>IF(V8=0,0,CK8/V8*C8)</f>
        <v>50.37154443077937</v>
      </c>
      <c r="GF8" s="15">
        <f>IF(V8=0,0,CL8/V8*C8)</f>
        <v>38.43503782191303</v>
      </c>
      <c r="GG8" s="15">
        <f>IF(OR(AS8=0,AT8=0,AV8=0),0,100*((AU8/AS8)/(AV8/AT8)-1))</f>
        <v>-0.2900770117596374</v>
      </c>
    </row>
    <row r="9" spans="1:189">
      <c r="A9" t="s">
        <v>15</v>
      </c>
      <c r="B9" t="s">
        <v>177</v>
      </c>
      <c r="C9">
        <v>30</v>
      </c>
      <c r="D9">
        <v>6</v>
      </c>
      <c r="E9" s="14">
        <f>SUM('Entity Inputs'!E9,'Entity Inputs'!E15)</f>
        <v>4320.0</v>
      </c>
      <c r="F9" s="14">
        <f>SUM('Entity Inputs'!F9,'Entity Inputs'!F15)</f>
        <v>4287.0</v>
      </c>
      <c r="G9" s="14">
        <f>SUM('Entity Inputs'!G9,'Entity Inputs'!G15)</f>
        <v>4045.3999999999996</v>
      </c>
      <c r="H9" s="14">
        <f>SUM('Entity Inputs'!H9,'Entity Inputs'!H15)</f>
        <v>154.4</v>
      </c>
      <c r="I9" s="14">
        <f>SUM('Entity Inputs'!I9,'Entity Inputs'!I15)</f>
        <v>744212.0</v>
      </c>
      <c r="J9" s="14">
        <f>SUM('Entity Inputs'!J9,'Entity Inputs'!J15)</f>
        <v>749808.0</v>
      </c>
      <c r="K9" s="14">
        <f>SUM('Entity Inputs'!K9,'Entity Inputs'!K15)</f>
        <v>655054.0</v>
      </c>
      <c r="L9" s="14">
        <f>SUM('Entity Inputs'!L9,'Entity Inputs'!L15)</f>
        <v>643004.0</v>
      </c>
      <c r="M9" s="14">
        <f>SUM('Entity Inputs'!M9,'Entity Inputs'!M15)</f>
        <v>625667.0</v>
      </c>
      <c r="N9" s="14">
        <f>SUM('Entity Inputs'!N9,'Entity Inputs'!N15)</f>
        <v>680575.0</v>
      </c>
      <c r="O9" s="14">
        <f>SUM('Entity Inputs'!O9,'Entity Inputs'!O15)</f>
        <v>146965.0</v>
      </c>
      <c r="P9" s="14">
        <f>SUM('Entity Inputs'!P9,'Entity Inputs'!P15)</f>
        <v>128381.0</v>
      </c>
      <c r="Q9" s="14">
        <f>SUM('Entity Inputs'!Q9,'Entity Inputs'!Q15)</f>
        <v>27176.0</v>
      </c>
      <c r="R9" s="14">
        <f>SUM('Entity Inputs'!R9,'Entity Inputs'!R15)</f>
        <v>15.0</v>
      </c>
      <c r="S9" s="14">
        <f>SUM('Entity Inputs'!S9,'Entity Inputs'!S15)</f>
        <v>117.39999999999999</v>
      </c>
      <c r="T9" s="14">
        <f>SUM('Entity Inputs'!T9,'Entity Inputs'!T15)</f>
        <v>274.0</v>
      </c>
      <c r="U9" s="14">
        <f>SUM('Entity Inputs'!U9,'Entity Inputs'!U15)</f>
        <v>262.0</v>
      </c>
      <c r="V9" s="14">
        <f>SUM('Entity Inputs'!V9,'Entity Inputs'!V15)</f>
        <v>1827824.7999999998</v>
      </c>
      <c r="W9" s="14">
        <f>SUM('Entity Inputs'!W9,'Entity Inputs'!W15)</f>
        <v>459369.29999999993</v>
      </c>
      <c r="X9" s="14">
        <f>SUM('Entity Inputs'!X9,'Entity Inputs'!X15)</f>
        <v>7718.9</v>
      </c>
      <c r="Y9" s="14">
        <f>SUM('Entity Inputs'!Y9,'Entity Inputs'!Y15)</f>
        <v>1450141.0</v>
      </c>
      <c r="Z9" s="14">
        <f>SUM('Entity Inputs'!Z9,'Entity Inputs'!Z15)</f>
        <v>427664.0</v>
      </c>
      <c r="AA9" s="14">
        <f>SUM('Entity Inputs'!AA9,'Entity Inputs'!AA15)</f>
        <v>2140719.0</v>
      </c>
      <c r="AB9" s="14">
        <f>SUM('Entity Inputs'!AB9,'Entity Inputs'!AB15)</f>
        <v>36810.0</v>
      </c>
      <c r="AC9" s="14">
        <f>SUM('Entity Inputs'!AC9,'Entity Inputs'!AC15)</f>
        <v>7.0</v>
      </c>
      <c r="AD9" s="14">
        <f>SUM('Entity Inputs'!AD9,'Entity Inputs'!AD15)</f>
        <v>425000.0</v>
      </c>
      <c r="AE9" s="14">
        <f>SUM('Entity Inputs'!AE9,'Entity Inputs'!AE15)</f>
        <v>1.0</v>
      </c>
      <c r="AF9" s="14">
        <f>SUM('Entity Inputs'!AF9,'Entity Inputs'!AF15)</f>
        <v>3.0</v>
      </c>
      <c r="AG9" s="14">
        <f>SUM('Entity Inputs'!AG9,'Entity Inputs'!AG15)</f>
        <v>41.0</v>
      </c>
      <c r="AH9" s="14">
        <f>SUM('Entity Inputs'!AH9,'Entity Inputs'!AH15)</f>
        <v>0.0</v>
      </c>
      <c r="AI9" s="14">
        <f>SUM('Entity Inputs'!AI9,'Entity Inputs'!AI15)</f>
        <v>2.0</v>
      </c>
      <c r="AJ9" s="14">
        <f>SUM('Entity Inputs'!AJ9,'Entity Inputs'!AJ15)</f>
        <v>0.0</v>
      </c>
      <c r="AK9" s="14">
        <f>SUM('Entity Inputs'!AK9,'Entity Inputs'!AK15)</f>
        <v>45.0</v>
      </c>
      <c r="AL9" s="14">
        <f>SUM('Entity Inputs'!AL9,'Entity Inputs'!AL15)</f>
        <v>9.0</v>
      </c>
      <c r="AM9" s="14">
        <f>SUM('Entity Inputs'!AM9,'Entity Inputs'!AM15)</f>
        <v>4.0</v>
      </c>
      <c r="AN9" s="14">
        <f>SUM('Entity Inputs'!AN9,'Entity Inputs'!AN15)</f>
        <v>3.0</v>
      </c>
      <c r="AO9" s="14">
        <f>SUM('Entity Inputs'!AO9,'Entity Inputs'!AO15)</f>
        <v>5.0</v>
      </c>
      <c r="AP9" s="14">
        <f>SUM('Entity Inputs'!AP9,'Entity Inputs'!AP15)</f>
        <v>1051.0</v>
      </c>
      <c r="AQ9" s="14">
        <f>SUM('Entity Inputs'!AQ9,'Entity Inputs'!AQ15)</f>
        <v>91.0</v>
      </c>
      <c r="AR9" s="14">
        <f>MIN('Entity Inputs'!AR9,'Entity Inputs'!AR15)</f>
        <v>65</v>
      </c>
      <c r="AS9" s="14">
        <f>SUM('Entity Inputs'!AS9,'Entity Inputs'!AS15)</f>
        <v>623746.0</v>
      </c>
      <c r="AT9" s="14">
        <f>SUM('Entity Inputs'!AT9,'Entity Inputs'!AT15)</f>
        <v>654973.0</v>
      </c>
      <c r="AU9" s="14">
        <f>SUM('Entity Inputs'!AU9,'Entity Inputs'!AU15)</f>
        <v>2335817.8</v>
      </c>
      <c r="AV9" s="14">
        <f>SUM('Entity Inputs'!AV9,'Entity Inputs'!AV15)</f>
        <v>2462698.5</v>
      </c>
      <c r="AW9" s="14">
        <f>SUM('Entity Inputs'!AW9,'Entity Inputs'!AW15)</f>
        <v>109048.79999999999</v>
      </c>
      <c r="AX9" s="14">
        <f>SUM('Entity Inputs'!AX9,'Entity Inputs'!AX15)</f>
        <v>89473.7</v>
      </c>
      <c r="AY9" s="14">
        <f>SUM('Entity Inputs'!AY9,'Entity Inputs'!AY15)</f>
        <v>1339.0</v>
      </c>
      <c r="AZ9" s="14">
        <f>SUM('Entity Inputs'!AZ9,'Entity Inputs'!AZ15)</f>
        <v>1224.0</v>
      </c>
      <c r="BA9" s="14">
        <f>SUM('Entity Inputs'!BA9,'Entity Inputs'!BA15)</f>
        <v>672929.0</v>
      </c>
      <c r="BB9" s="14">
        <f>SUM('Entity Inputs'!BB9,'Entity Inputs'!BB15)</f>
        <v>651499.0</v>
      </c>
      <c r="BC9" s="14">
        <f>SUM('Entity Inputs'!BC9,'Entity Inputs'!BC15)</f>
        <v>7320.0</v>
      </c>
      <c r="BD9" s="14">
        <f>SUM('Entity Inputs'!BD9,'Entity Inputs'!BD15)</f>
        <v>5166.0</v>
      </c>
      <c r="BE9" s="14">
        <f>SUM('Entity Inputs'!BE9,'Entity Inputs'!BE15)</f>
        <v>5437.0</v>
      </c>
      <c r="BF9" s="14">
        <f>SUM('Entity Inputs'!BF9,'Entity Inputs'!BF15)</f>
        <v>1019083.3999999999</v>
      </c>
      <c r="BG9" s="14">
        <f>SUM('Entity Inputs'!BG9,'Entity Inputs'!BG15)</f>
        <v>358582.30000000005</v>
      </c>
      <c r="BH9" s="14">
        <f>SUM('Entity Inputs'!BH9,'Entity Inputs'!BH15)</f>
        <v>2.0</v>
      </c>
      <c r="BI9" s="14">
        <f>SUM('Entity Inputs'!BI9,'Entity Inputs'!BI15)</f>
        <v>0.0</v>
      </c>
      <c r="BJ9" s="14">
        <f>SUM('Entity Inputs'!BJ9,'Entity Inputs'!BJ15)</f>
        <v>3.0</v>
      </c>
      <c r="BK9" s="14">
        <f>SUM('Entity Inputs'!BK9,'Entity Inputs'!BK15)</f>
        <v>1.0</v>
      </c>
      <c r="BL9" s="14">
        <f>SUM('Entity Inputs'!BL9,'Entity Inputs'!BL15)</f>
        <v>2.0</v>
      </c>
      <c r="BM9" s="14">
        <f>SUM('Entity Inputs'!BM9,'Entity Inputs'!BM15)</f>
        <v>0.0</v>
      </c>
      <c r="BN9" s="14">
        <f>SUM('Entity Inputs'!BN9,'Entity Inputs'!BN15)</f>
        <v>0.0</v>
      </c>
      <c r="BO9" s="14">
        <f>SUM('Entity Inputs'!BO9,'Entity Inputs'!BO15)</f>
        <v>0.0</v>
      </c>
      <c r="BP9" s="14">
        <f>SUM('Entity Inputs'!BP9,'Entity Inputs'!BP15)</f>
        <v>0.0</v>
      </c>
      <c r="BQ9" s="14">
        <f>SUM('Entity Inputs'!BQ9,'Entity Inputs'!BQ15)</f>
        <v>0.0</v>
      </c>
      <c r="BR9" s="14">
        <f>SUM('Entity Inputs'!BR9,'Entity Inputs'!BR15)</f>
        <v>0.0</v>
      </c>
      <c r="BS9" s="14">
        <f>MIN('Entity Inputs'!BS9,'Entity Inputs'!BS15)</f>
        <v>4</v>
      </c>
      <c r="BT9" s="14">
        <f>SUM('Entity Inputs'!BT9,'Entity Inputs'!BT15)</f>
        <v>661346.0</v>
      </c>
      <c r="BU9" s="14">
        <f>SUM('Entity Inputs'!BU9,'Entity Inputs'!BU15)</f>
        <v>652912.0</v>
      </c>
      <c r="BV9" s="14">
        <f>SUM('Entity Inputs'!BV9,'Entity Inputs'!BV15)</f>
        <v>267584263.0</v>
      </c>
      <c r="BW9" s="14">
        <f>SUM('Entity Inputs'!BW9,'Entity Inputs'!BW15)</f>
        <v>744212.0</v>
      </c>
      <c r="BX9" s="14">
        <f>SUM('Entity Inputs'!BX9,'Entity Inputs'!BX15)</f>
        <v>28008.0</v>
      </c>
      <c r="BY9" s="14">
        <f>SUM('Entity Inputs'!BY9,'Entity Inputs'!BY15)</f>
        <v>103293.8</v>
      </c>
      <c r="BZ9" s="14">
        <f>SUM('Entity Inputs'!BZ9,'Entity Inputs'!BZ15)</f>
        <v>77420.9</v>
      </c>
      <c r="CA9" s="14">
        <f>SUM('Entity Inputs'!CA9,'Entity Inputs'!CA15)</f>
        <v>21216000.0</v>
      </c>
      <c r="CB9" s="14">
        <f>SUM('Entity Inputs'!CB9,'Entity Inputs'!CB15)</f>
        <v>8791822.399999999</v>
      </c>
      <c r="CC9" s="14">
        <f>SUM('Entity Inputs'!CC9,'Entity Inputs'!CC15)</f>
        <v>2141822.4</v>
      </c>
      <c r="CD9" s="14">
        <f>SUM('Entity Inputs'!CD9,'Entity Inputs'!CD15)</f>
        <v>880814.6000000001</v>
      </c>
      <c r="CE9" s="14">
        <f>SUM('Entity Inputs'!CE9,'Entity Inputs'!CE15)</f>
        <v>69825.0</v>
      </c>
      <c r="CF9" s="14">
        <f>SUM('Entity Inputs'!CF9,'Entity Inputs'!CF15)</f>
        <v>891410.2</v>
      </c>
      <c r="CG9" s="14">
        <f>SUM('Entity Inputs'!CG9,'Entity Inputs'!CG15)</f>
        <v>2720832.1</v>
      </c>
      <c r="CH9" s="14">
        <f>SUM('Entity Inputs'!CH9,'Entity Inputs'!CH15)</f>
        <v>396100.19999999995</v>
      </c>
      <c r="CI9" s="14">
        <f>SUM('Entity Inputs'!CI9,'Entity Inputs'!CI15)</f>
        <v>2326971.1</v>
      </c>
      <c r="CJ9" s="14">
        <f>SUM('Entity Inputs'!CJ9,'Entity Inputs'!CJ15)</f>
        <v>3657489.0</v>
      </c>
      <c r="CK9" s="14">
        <f>SUM('Entity Inputs'!CK9,'Entity Inputs'!CK15)</f>
        <v>3177113.9000000004</v>
      </c>
      <c r="CL9" s="14">
        <f>SUM('Entity Inputs'!CL9,'Entity Inputs'!CL15)</f>
        <v>2300611.5</v>
      </c>
      <c r="CM9" s="14">
        <f>SUM('Entity Inputs'!CM9,'Entity Inputs'!CM15)</f>
        <v>2303231.4000000004</v>
      </c>
      <c r="CN9" s="14">
        <f>SUM('Entity Inputs'!CN9,'Entity Inputs'!CN15)</f>
        <v>3410.7</v>
      </c>
      <c r="CO9" s="14">
        <f>SUM('Entity Inputs'!CO9,'Entity Inputs'!CO15)</f>
        <v>205271.0</v>
      </c>
      <c r="CP9" s="14">
        <f>SUM('Entity Inputs'!CP9,'Entity Inputs'!CP15)</f>
        <v>178058.40000000002</v>
      </c>
      <c r="CQ9" s="14">
        <f>SUM('Entity Inputs'!CQ9,'Entity Inputs'!CQ15)</f>
        <v>750.0</v>
      </c>
      <c r="CR9" s="14">
        <f>SUM('Entity Inputs'!CR9,'Entity Inputs'!CR15)</f>
        <v>34592.0</v>
      </c>
      <c r="CS9" s="14">
        <f>SUM('Entity Inputs'!CS9,'Entity Inputs'!CS15)</f>
        <v>33750.0</v>
      </c>
      <c r="CT9" s="14">
        <f>SUM('Entity Inputs'!CT9,'Entity Inputs'!CT15)</f>
        <v>3.0</v>
      </c>
      <c r="CU9" s="14">
        <f>SUM('Entity Inputs'!CU9,'Entity Inputs'!CU15)</f>
        <v>2334226.4</v>
      </c>
      <c r="CV9" s="14">
        <f>SUM('Entity Inputs'!CV9,'Entity Inputs'!CV15)</f>
        <v>2390406.5</v>
      </c>
      <c r="CW9" s="14">
        <f>SUM('Entity Inputs'!CW9,'Entity Inputs'!CW15)</f>
        <v>347118.3</v>
      </c>
      <c r="CX9" s="14">
        <f>SUM('Entity Inputs'!CX9,'Entity Inputs'!CX15)</f>
        <v>6584269.1</v>
      </c>
      <c r="CY9" s="14">
        <f>SUM('Entity Inputs'!CY9,'Entity Inputs'!CY15)</f>
        <v>4695236.9</v>
      </c>
      <c r="CZ9" s="14">
        <f>SUM('Entity Inputs'!CZ9,'Entity Inputs'!CZ15)</f>
        <v>767723.3</v>
      </c>
      <c r="DA9" s="14">
        <f>SUM('Entity Inputs'!DA9,'Entity Inputs'!DA15)</f>
        <v>545998.6</v>
      </c>
      <c r="DB9" s="14">
        <f>SUM('Entity Inputs'!DB9,'Entity Inputs'!DB15)</f>
        <v>614925.4</v>
      </c>
      <c r="DC9" s="14">
        <f>SUM('Entity Inputs'!DC9,'Entity Inputs'!DC15)</f>
        <v>446793.4</v>
      </c>
      <c r="DD9" s="14">
        <f>SUM('Entity Inputs'!DD9,'Entity Inputs'!DD15)</f>
        <v>11376.900000000001</v>
      </c>
      <c r="DE9" s="14">
        <f>SUM('Entity Inputs'!DE9,'Entity Inputs'!DE15)</f>
        <v>12406.099999999999</v>
      </c>
      <c r="DF9" s="14">
        <f>SUM('Entity Inputs'!DF9,'Entity Inputs'!DF15)</f>
        <v>4533205.0</v>
      </c>
      <c r="DG9" s="14">
        <f>SUM('Entity Inputs'!DG9,'Entity Inputs'!DG15)</f>
        <v>3202912.2</v>
      </c>
      <c r="DH9" s="14">
        <f>SUM('Entity Inputs'!DH9,'Entity Inputs'!DH15)</f>
        <v>1860000.0</v>
      </c>
      <c r="DI9" s="14">
        <f>SUM('Entity Inputs'!DI9,'Entity Inputs'!DI15)</f>
        <v>1347733.2999999998</v>
      </c>
      <c r="DJ9" s="14">
        <f>SUM('Entity Inputs'!DJ9,'Entity Inputs'!DJ15)</f>
        <v>144874.2</v>
      </c>
      <c r="DK9" s="14">
        <f>SUM('Entity Inputs'!DK9,'Entity Inputs'!DK15)</f>
        <v>1131800.0</v>
      </c>
      <c r="DL9" s="14">
        <f>SUM('Entity Inputs'!DL9,'Entity Inputs'!DL15)</f>
        <v>148031.4</v>
      </c>
      <c r="DM9" s="14">
        <f>SUM('Entity Inputs'!DM9,'Entity Inputs'!DM15)</f>
        <v>9.0</v>
      </c>
      <c r="DN9" s="14">
        <f>SUM('Entity Inputs'!DN9,'Entity Inputs'!DN15)</f>
        <v>2.0</v>
      </c>
      <c r="DO9" s="14">
        <f>SUM('Entity Inputs'!DO9,'Entity Inputs'!DO15)</f>
        <v>0.0</v>
      </c>
      <c r="DP9" s="14">
        <f>SUM('Entity Inputs'!DP9,'Entity Inputs'!DP15)</f>
        <v>1.0</v>
      </c>
      <c r="DQ9" s="14">
        <f>SUM('Entity Inputs'!DQ9,'Entity Inputs'!DQ15)</f>
        <v>11.0</v>
      </c>
      <c r="DR9" s="14">
        <f>SUM('Entity Inputs'!DR9,'Entity Inputs'!DR15)</f>
        <v>19.0</v>
      </c>
      <c r="DS9" s="14">
        <f>SUM('Entity Inputs'!DS9,'Entity Inputs'!DS15)</f>
        <v>15.0</v>
      </c>
      <c r="DT9" s="14">
        <f>SUM('Entity Inputs'!DT9,'Entity Inputs'!DT15)</f>
        <v>6.0</v>
      </c>
      <c r="DU9" s="14">
        <f>SUM('Entity Inputs'!DU9,'Entity Inputs'!DU15)</f>
        <v>3.0</v>
      </c>
      <c r="DV9" s="14">
        <f>SUM('Entity Inputs'!DV9,'Entity Inputs'!DV15)</f>
        <v>124.0</v>
      </c>
      <c r="DW9" s="14">
        <f>SUM('Entity Inputs'!DW9,'Entity Inputs'!DW15)</f>
        <v>67.0</v>
      </c>
      <c r="DX9" s="14">
        <f>SUM('Entity Inputs'!DX9,'Entity Inputs'!DX15)</f>
        <v>14155.7</v>
      </c>
      <c r="DY9" s="14">
        <f>SUM('Entity Inputs'!DY9,'Entity Inputs'!DY15)</f>
        <v>6684.7</v>
      </c>
      <c r="DZ9" s="14">
        <f>SUM('Entity Inputs'!DZ9,'Entity Inputs'!DZ15)</f>
        <v>2346.7</v>
      </c>
      <c r="EA9" s="14">
        <f>SUM('Entity Inputs'!EA9,'Entity Inputs'!EA15)</f>
        <v>1431.5</v>
      </c>
      <c r="EB9" s="14">
        <f>SUM('Entity Inputs'!EB9,'Entity Inputs'!EB15)</f>
        <v>1889.9</v>
      </c>
      <c r="EC9" s="14">
        <f>SUM('Entity Inputs'!EC9,'Entity Inputs'!EC15)</f>
        <v>140.0</v>
      </c>
      <c r="ED9" s="14">
        <f>SUM('Entity Inputs'!ED9,'Entity Inputs'!ED15)</f>
        <v>134.0</v>
      </c>
      <c r="EE9" s="14">
        <f>SUM('Entity Inputs'!EE9,'Entity Inputs'!EE15)</f>
        <v>4.0</v>
      </c>
      <c r="EF9" s="14">
        <f>SUM('Entity Inputs'!EF9,'Entity Inputs'!EF15)</f>
        <v>0.0</v>
      </c>
      <c r="EG9" s="14">
        <f>SUM('Entity Inputs'!EG9,'Entity Inputs'!EG15)</f>
        <v>3.0</v>
      </c>
      <c r="EH9" s="14">
        <f>SUM('Entity Inputs'!EH9,'Entity Inputs'!EH15)</f>
        <v>1.0</v>
      </c>
      <c r="EI9" s="14">
        <f>SUM('Entity Inputs'!EI9,'Entity Inputs'!EI15)</f>
        <v>0.0</v>
      </c>
      <c r="EJ9" s="14">
        <f>SUM('Entity Inputs'!EJ9,'Entity Inputs'!EJ15)</f>
        <v>0.0</v>
      </c>
      <c r="EK9" s="14">
        <f>SUM('Entity Inputs'!EK9,'Entity Inputs'!EK15)</f>
        <v>0.0</v>
      </c>
      <c r="EL9" s="14">
        <f>SUM('Entity Inputs'!EL9,'Entity Inputs'!EL15)</f>
        <v>1.0</v>
      </c>
      <c r="EM9" s="14">
        <f>SUM('Entity Inputs'!EM9,'Entity Inputs'!EM15)</f>
        <v>0.0</v>
      </c>
      <c r="EN9" s="14">
        <f>SUM('Entity Inputs'!EN9,'Entity Inputs'!EN15)</f>
        <v>0.0</v>
      </c>
      <c r="EO9" s="14">
        <f>SUM('Entity Inputs'!EO9,'Entity Inputs'!EO15)</f>
        <v>0.0</v>
      </c>
      <c r="EP9" s="14">
        <f>SUM('Entity Inputs'!EP9,'Entity Inputs'!EP15)</f>
        <v>0.0</v>
      </c>
      <c r="EQ9" s="14">
        <f>SUM('Entity Inputs'!EQ9,'Entity Inputs'!EQ15)</f>
        <v>3.0</v>
      </c>
      <c r="ER9" s="14">
        <f>SUM('Entity Inputs'!ER9,'Entity Inputs'!ER15)</f>
        <v>2.0</v>
      </c>
      <c r="ES9" s="14">
        <f>SUM('Entity Inputs'!ES9,'Entity Inputs'!ES15)</f>
        <v>0.0</v>
      </c>
      <c r="ET9" s="14">
        <f>SUM('Entity Inputs'!ET9,'Entity Inputs'!ET15)</f>
        <v>1.0</v>
      </c>
      <c r="EU9" s="14">
        <f>SUM('Entity Inputs'!EU9,'Entity Inputs'!EU15)</f>
        <v>7.0</v>
      </c>
      <c r="EV9" s="14">
        <f>SUM('Entity Inputs'!EV9,'Entity Inputs'!EV15)</f>
        <v>0.0</v>
      </c>
      <c r="EW9" s="14">
        <f>SUM('Entity Inputs'!EW9,'Entity Inputs'!EW15)</f>
        <v>1.0</v>
      </c>
      <c r="EX9" s="14">
        <f>SUM('Entity Inputs'!EX9,'Entity Inputs'!EX15)</f>
        <v>1.0</v>
      </c>
      <c r="EY9" s="14">
        <f>SUM('Entity Inputs'!EY9,'Entity Inputs'!EY15)</f>
        <v>108.0</v>
      </c>
      <c r="EZ9" s="14">
        <f>SUM('Entity Inputs'!EZ9,'Entity Inputs'!EZ15)</f>
        <v>95.0</v>
      </c>
      <c r="FA9" s="14">
        <f>SUM('Entity Inputs'!FA9,'Entity Inputs'!FA15)</f>
        <v>5.0</v>
      </c>
      <c r="FB9" s="14">
        <f>SUM('Entity Inputs'!FB9,'Entity Inputs'!FB15)</f>
        <v>166.0</v>
      </c>
      <c r="FC9" s="14">
        <f>SUM('Entity Inputs'!FC9,'Entity Inputs'!FC15)</f>
        <v>56.0</v>
      </c>
      <c r="FD9" s="14">
        <f>SUM('Entity Inputs'!FD9,'Entity Inputs'!FD15)</f>
        <v>47.0</v>
      </c>
      <c r="FE9" s="14">
        <f>SUM('Entity Inputs'!FE9,'Entity Inputs'!FE15)</f>
        <v>52.0</v>
      </c>
      <c r="FF9" s="14">
        <f>SUM('Entity Inputs'!FF9,'Entity Inputs'!FF15)</f>
        <v>2.0</v>
      </c>
      <c r="FG9" s="14">
        <f>SUM('Entity Inputs'!FG9,'Entity Inputs'!FG15)</f>
        <v>1.0</v>
      </c>
      <c r="FH9" s="14">
        <f>SUM('Entity Inputs'!FH9,'Entity Inputs'!FH15)</f>
        <v>1.0</v>
      </c>
      <c r="FI9" s="14">
        <f>SUM('Entity Inputs'!FI9,'Entity Inputs'!FI15)</f>
        <v>1004309.0</v>
      </c>
      <c r="FJ9" s="14">
        <f>SUM('Entity Inputs'!FJ9,'Entity Inputs'!FJ15)</f>
        <v>994443.0</v>
      </c>
      <c r="FK9" s="14">
        <f>SUM('Entity Inputs'!FK9,'Entity Inputs'!FK15)</f>
        <v>820.0</v>
      </c>
      <c r="FL9" s="14">
        <f>SUM('Entity Inputs'!FL9,'Entity Inputs'!FL15)</f>
        <v>787.0</v>
      </c>
      <c r="FM9" s="14">
        <f>SUM('Entity Inputs'!FM9,'Entity Inputs'!FM15)</f>
        <v>1.0</v>
      </c>
      <c r="FN9" s="14">
        <f>SUM('Entity Inputs'!FN9,'Entity Inputs'!FN15)</f>
        <v>1.0</v>
      </c>
      <c r="FO9" s="14">
        <f>SUM('Entity Inputs'!FO9,'Entity Inputs'!FO15)</f>
        <v>0.0</v>
      </c>
      <c r="FP9" s="14">
        <f>SUM('Entity Inputs'!FP9,'Entity Inputs'!FP15)</f>
        <v>11.0</v>
      </c>
      <c r="FQ9" s="14">
        <f>SUM('Entity Inputs'!FQ9,'Entity Inputs'!FQ15)</f>
        <v>27.0</v>
      </c>
      <c r="FR9" s="14">
        <f>SUM('Entity Inputs'!FR9,'Entity Inputs'!FR15)</f>
        <v>11.0</v>
      </c>
      <c r="FS9" s="14">
        <f>SUM('Entity Inputs'!FS9,'Entity Inputs'!FS15)</f>
        <v>1.0</v>
      </c>
      <c r="FT9" s="14">
        <f>SUM('Entity Inputs'!FT9,'Entity Inputs'!FT15)</f>
        <v>2.0</v>
      </c>
      <c r="FU9" s="14">
        <f>SUM('Entity Inputs'!FU9,'Entity Inputs'!FU15)</f>
        <v>2.0</v>
      </c>
      <c r="FV9" s="15">
        <f>AU9-V9-X9-BY9</f>
        <v>396980.3</v>
      </c>
      <c r="FW9" s="15">
        <f>FV9-AX9</f>
        <v>307506.6</v>
      </c>
      <c r="FX9" s="15">
        <f>CJ9+CL9-CK9</f>
        <v>2780986.5999999996</v>
      </c>
      <c r="FY9" s="15">
        <f>FX9-FX8</f>
        <v>17258.599999999627</v>
      </c>
      <c r="FZ9" s="15">
        <f>FV9-BZ9-FY9</f>
        <v>302300.8000000004</v>
      </c>
      <c r="GA9" s="15">
        <f>FZ9-DJ9</f>
        <v>157426.60000000038</v>
      </c>
      <c r="GB9" s="15">
        <f>CB9-CC9</f>
        <v>6649999.999999998</v>
      </c>
      <c r="GC9" s="15">
        <f>SUM(FV$4:FV9)*12/D9</f>
        <v>3520186.4</v>
      </c>
      <c r="GD9" s="15">
        <f>IF(AU9=0,0,CJ9/AU9*C9)</f>
        <v>46.97484110276068</v>
      </c>
      <c r="GE9" s="15">
        <f>IF(V9=0,0,CK9/V9*C9)</f>
        <v>52.14581671066069</v>
      </c>
      <c r="GF9" s="15">
        <f>IF(V9=0,0,CL9/V9*C9)</f>
        <v>37.759825230514444</v>
      </c>
      <c r="GG9" s="15">
        <f>IF(OR(AS9=0,AT9=0,AV9=0),0,100*((AU9/AS9)/(AV9/AT9)-1))</f>
        <v>-0.40366860023611784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FU15"/>
  <sheetViews>
    <sheetView workbookViewId="0">
      <pane xSplit="3" ySplit="3" topLeftCell="D4" activePane="bottomRight" state="frozen"/>
      <selection pane="topRight" activeCell="D1" sqref="D1"/>
      <selection pane="bottomLeft" activeCell="A4" sqref="A4"/>
      <selection pane="bottomRight"/>
    </sheetView>
  </sheetViews>
  <sheetFormatPr defaultRowHeight="15"/>
  <cols>
    <col min="1" max="3" width="10.7109375" customWidth="1"/>
    <col min="4" max="177" width="15.7109375" customWidth="1"/>
  </cols>
  <sheetData>
    <row r="1" spans="1:177" ht="48" customHeight="1">
      <c r="A1" s="9" t="s">
        <v>15</v>
      </c>
      <c r="B1" s="9" t="s">
        <v>17</v>
      </c>
      <c r="C1" s="9" t="s">
        <v>21</v>
      </c>
      <c r="D1" s="9" t="s">
        <v>184</v>
      </c>
      <c r="E1" s="9" t="s">
        <v>26</v>
      </c>
      <c r="F1" s="9" t="s">
        <v>28</v>
      </c>
      <c r="G1" s="9" t="s">
        <v>30</v>
      </c>
      <c r="H1" s="9" t="s">
        <v>32</v>
      </c>
      <c r="I1" s="9" t="s">
        <v>34</v>
      </c>
      <c r="J1" s="9" t="s">
        <v>36</v>
      </c>
      <c r="K1" s="9" t="s">
        <v>38</v>
      </c>
      <c r="L1" s="9" t="s">
        <v>40</v>
      </c>
      <c r="M1" s="9" t="s">
        <v>42</v>
      </c>
      <c r="N1" s="9" t="s">
        <v>44</v>
      </c>
      <c r="O1" s="9" t="s">
        <v>46</v>
      </c>
      <c r="P1" s="9" t="s">
        <v>48</v>
      </c>
      <c r="Q1" s="9" t="s">
        <v>50</v>
      </c>
      <c r="R1" s="9" t="s">
        <v>52</v>
      </c>
      <c r="S1" s="9" t="s">
        <v>54</v>
      </c>
      <c r="T1" s="9" t="s">
        <v>56</v>
      </c>
      <c r="U1" s="9" t="s">
        <v>58</v>
      </c>
      <c r="V1" s="9" t="s">
        <v>60</v>
      </c>
      <c r="W1" s="9" t="s">
        <v>62</v>
      </c>
      <c r="X1" s="9" t="s">
        <v>64</v>
      </c>
      <c r="Y1" s="9" t="s">
        <v>66</v>
      </c>
      <c r="Z1" s="9" t="s">
        <v>68</v>
      </c>
      <c r="AA1" s="9" t="s">
        <v>70</v>
      </c>
      <c r="AB1" s="9" t="s">
        <v>72</v>
      </c>
      <c r="AC1" s="9" t="s">
        <v>74</v>
      </c>
      <c r="AD1" s="9" t="s">
        <v>76</v>
      </c>
      <c r="AE1" s="9" t="s">
        <v>78</v>
      </c>
      <c r="AF1" s="9" t="s">
        <v>80</v>
      </c>
      <c r="AG1" s="9" t="s">
        <v>82</v>
      </c>
      <c r="AH1" s="9" t="s">
        <v>84</v>
      </c>
      <c r="AI1" s="9" t="s">
        <v>86</v>
      </c>
      <c r="AJ1" s="9" t="s">
        <v>88</v>
      </c>
      <c r="AK1" s="9" t="s">
        <v>90</v>
      </c>
      <c r="AL1" s="9" t="s">
        <v>92</v>
      </c>
      <c r="AM1" s="9" t="s">
        <v>94</v>
      </c>
      <c r="AN1" s="9" t="s">
        <v>96</v>
      </c>
      <c r="AO1" s="9" t="s">
        <v>98</v>
      </c>
      <c r="AP1" s="9" t="s">
        <v>100</v>
      </c>
      <c r="AQ1" s="9" t="s">
        <v>102</v>
      </c>
      <c r="AR1" s="9" t="s">
        <v>104</v>
      </c>
      <c r="AS1" s="9" t="s">
        <v>106</v>
      </c>
      <c r="AT1" s="9" t="s">
        <v>108</v>
      </c>
      <c r="AU1" s="9" t="s">
        <v>110</v>
      </c>
      <c r="AV1" s="9" t="s">
        <v>112</v>
      </c>
      <c r="AW1" s="9" t="s">
        <v>114</v>
      </c>
      <c r="AX1" s="9" t="s">
        <v>116</v>
      </c>
      <c r="AY1" s="9" t="s">
        <v>118</v>
      </c>
      <c r="AZ1" s="9" t="s">
        <v>120</v>
      </c>
      <c r="BA1" s="9" t="s">
        <v>122</v>
      </c>
      <c r="BB1" s="9" t="s">
        <v>124</v>
      </c>
      <c r="BC1" s="9" t="s">
        <v>126</v>
      </c>
      <c r="BD1" s="9" t="s">
        <v>128</v>
      </c>
      <c r="BE1" s="9" t="s">
        <v>130</v>
      </c>
      <c r="BF1" s="9" t="s">
        <v>132</v>
      </c>
      <c r="BG1" s="9" t="s">
        <v>134</v>
      </c>
      <c r="BH1" s="9" t="s">
        <v>136</v>
      </c>
      <c r="BI1" s="9" t="s">
        <v>138</v>
      </c>
      <c r="BJ1" s="9" t="s">
        <v>140</v>
      </c>
      <c r="BK1" s="9" t="s">
        <v>142</v>
      </c>
      <c r="BL1" s="9" t="s">
        <v>144</v>
      </c>
      <c r="BM1" s="9" t="s">
        <v>146</v>
      </c>
      <c r="BN1" s="9" t="s">
        <v>148</v>
      </c>
      <c r="BO1" s="9" t="s">
        <v>150</v>
      </c>
      <c r="BP1" s="9" t="s">
        <v>152</v>
      </c>
      <c r="BQ1" s="9" t="s">
        <v>154</v>
      </c>
      <c r="BR1" s="9" t="s">
        <v>156</v>
      </c>
      <c r="BS1" s="9" t="s">
        <v>158</v>
      </c>
      <c r="BT1" s="9" t="s">
        <v>160</v>
      </c>
      <c r="BU1" s="9" t="s">
        <v>162</v>
      </c>
      <c r="BV1" s="9" t="s">
        <v>164</v>
      </c>
      <c r="BW1" s="9" t="s">
        <v>166</v>
      </c>
      <c r="BX1" s="9" t="s">
        <v>168</v>
      </c>
      <c r="BY1" s="9" t="s">
        <v>188</v>
      </c>
      <c r="BZ1" s="9" t="s">
        <v>191</v>
      </c>
      <c r="CA1" s="9" t="s">
        <v>193</v>
      </c>
      <c r="CB1" s="9" t="s">
        <v>195</v>
      </c>
      <c r="CC1" s="9" t="s">
        <v>197</v>
      </c>
      <c r="CD1" s="9" t="s">
        <v>199</v>
      </c>
      <c r="CE1" s="9" t="s">
        <v>201</v>
      </c>
      <c r="CF1" s="9" t="s">
        <v>203</v>
      </c>
      <c r="CG1" s="9" t="s">
        <v>205</v>
      </c>
      <c r="CH1" s="9" t="s">
        <v>207</v>
      </c>
      <c r="CI1" s="9" t="s">
        <v>209</v>
      </c>
      <c r="CJ1" s="9" t="s">
        <v>211</v>
      </c>
      <c r="CK1" s="9" t="s">
        <v>213</v>
      </c>
      <c r="CL1" s="9" t="s">
        <v>215</v>
      </c>
      <c r="CM1" s="9" t="s">
        <v>217</v>
      </c>
      <c r="CN1" s="9" t="s">
        <v>219</v>
      </c>
      <c r="CO1" s="9" t="s">
        <v>221</v>
      </c>
      <c r="CP1" s="9" t="s">
        <v>223</v>
      </c>
      <c r="CQ1" s="9" t="s">
        <v>225</v>
      </c>
      <c r="CR1" s="9" t="s">
        <v>227</v>
      </c>
      <c r="CS1" s="9" t="s">
        <v>229</v>
      </c>
      <c r="CT1" s="9" t="s">
        <v>231</v>
      </c>
      <c r="CU1" s="9" t="s">
        <v>233</v>
      </c>
      <c r="CV1" s="9" t="s">
        <v>235</v>
      </c>
      <c r="CW1" s="9" t="s">
        <v>237</v>
      </c>
      <c r="CX1" s="9" t="s">
        <v>239</v>
      </c>
      <c r="CY1" s="9" t="s">
        <v>241</v>
      </c>
      <c r="CZ1" s="9" t="s">
        <v>243</v>
      </c>
      <c r="DA1" s="9" t="s">
        <v>245</v>
      </c>
      <c r="DB1" s="9" t="s">
        <v>247</v>
      </c>
      <c r="DC1" s="9" t="s">
        <v>249</v>
      </c>
      <c r="DD1" s="9" t="s">
        <v>251</v>
      </c>
      <c r="DE1" s="9" t="s">
        <v>253</v>
      </c>
      <c r="DF1" s="9" t="s">
        <v>255</v>
      </c>
      <c r="DG1" s="9" t="s">
        <v>257</v>
      </c>
      <c r="DH1" s="9" t="s">
        <v>259</v>
      </c>
      <c r="DI1" s="9" t="s">
        <v>261</v>
      </c>
      <c r="DJ1" s="9" t="s">
        <v>263</v>
      </c>
      <c r="DK1" s="9" t="s">
        <v>265</v>
      </c>
      <c r="DL1" s="9" t="s">
        <v>267</v>
      </c>
      <c r="DM1" s="9" t="s">
        <v>269</v>
      </c>
      <c r="DN1" s="9" t="s">
        <v>271</v>
      </c>
      <c r="DO1" s="9" t="s">
        <v>273</v>
      </c>
      <c r="DP1" s="9" t="s">
        <v>275</v>
      </c>
      <c r="DQ1" s="9" t="s">
        <v>277</v>
      </c>
      <c r="DR1" s="9" t="s">
        <v>279</v>
      </c>
      <c r="DS1" s="9" t="s">
        <v>281</v>
      </c>
      <c r="DT1" s="9" t="s">
        <v>283</v>
      </c>
      <c r="DU1" s="9" t="s">
        <v>285</v>
      </c>
      <c r="DV1" s="9" t="s">
        <v>287</v>
      </c>
      <c r="DW1" s="9" t="s">
        <v>289</v>
      </c>
      <c r="DX1" s="9" t="s">
        <v>291</v>
      </c>
      <c r="DY1" s="9" t="s">
        <v>293</v>
      </c>
      <c r="DZ1" s="9" t="s">
        <v>295</v>
      </c>
      <c r="EA1" s="9" t="s">
        <v>297</v>
      </c>
      <c r="EB1" s="9" t="s">
        <v>299</v>
      </c>
      <c r="EC1" s="9" t="s">
        <v>301</v>
      </c>
      <c r="ED1" s="9" t="s">
        <v>303</v>
      </c>
      <c r="EE1" s="9" t="s">
        <v>305</v>
      </c>
      <c r="EF1" s="9" t="s">
        <v>307</v>
      </c>
      <c r="EG1" s="9" t="s">
        <v>309</v>
      </c>
      <c r="EH1" s="9" t="s">
        <v>311</v>
      </c>
      <c r="EI1" s="9" t="s">
        <v>313</v>
      </c>
      <c r="EJ1" s="9" t="s">
        <v>315</v>
      </c>
      <c r="EK1" s="9" t="s">
        <v>317</v>
      </c>
      <c r="EL1" s="9" t="s">
        <v>319</v>
      </c>
      <c r="EM1" s="9" t="s">
        <v>321</v>
      </c>
      <c r="EN1" s="9" t="s">
        <v>323</v>
      </c>
      <c r="EO1" s="9" t="s">
        <v>325</v>
      </c>
      <c r="EP1" s="9" t="s">
        <v>327</v>
      </c>
      <c r="EQ1" s="9" t="s">
        <v>329</v>
      </c>
      <c r="ER1" s="9" t="s">
        <v>331</v>
      </c>
      <c r="ES1" s="9" t="s">
        <v>333</v>
      </c>
      <c r="ET1" s="9" t="s">
        <v>335</v>
      </c>
      <c r="EU1" s="9" t="s">
        <v>337</v>
      </c>
      <c r="EV1" s="9" t="s">
        <v>339</v>
      </c>
      <c r="EW1" s="9" t="s">
        <v>341</v>
      </c>
      <c r="EX1" s="9" t="s">
        <v>343</v>
      </c>
      <c r="EY1" s="9" t="s">
        <v>345</v>
      </c>
      <c r="EZ1" s="9" t="s">
        <v>347</v>
      </c>
      <c r="FA1" s="9" t="s">
        <v>349</v>
      </c>
      <c r="FB1" s="9" t="s">
        <v>351</v>
      </c>
      <c r="FC1" s="9" t="s">
        <v>353</v>
      </c>
      <c r="FD1" s="9" t="s">
        <v>355</v>
      </c>
      <c r="FE1" s="9" t="s">
        <v>357</v>
      </c>
      <c r="FF1" s="9" t="s">
        <v>359</v>
      </c>
      <c r="FG1" s="9" t="s">
        <v>361</v>
      </c>
      <c r="FH1" s="9" t="s">
        <v>363</v>
      </c>
      <c r="FI1" s="9" t="s">
        <v>365</v>
      </c>
      <c r="FJ1" s="9" t="s">
        <v>367</v>
      </c>
      <c r="FK1" s="9" t="s">
        <v>369</v>
      </c>
      <c r="FL1" s="9" t="s">
        <v>371</v>
      </c>
      <c r="FM1" s="9" t="s">
        <v>373</v>
      </c>
      <c r="FN1" s="9" t="s">
        <v>375</v>
      </c>
      <c r="FO1" s="9" t="s">
        <v>377</v>
      </c>
      <c r="FP1" s="9" t="s">
        <v>379</v>
      </c>
      <c r="FQ1" s="9" t="s">
        <v>381</v>
      </c>
      <c r="FR1" s="9" t="s">
        <v>383</v>
      </c>
      <c r="FS1" s="9" t="s">
        <v>385</v>
      </c>
      <c r="FT1" s="9" t="s">
        <v>387</v>
      </c>
      <c r="FU1" s="9" t="s">
        <v>389</v>
      </c>
    </row>
    <row r="2" spans="1:177">
      <c r="A2" s="11" t="s">
        <v>16</v>
      </c>
      <c r="B2" s="11" t="s">
        <v>18</v>
      </c>
      <c r="C2" s="11" t="s">
        <v>22</v>
      </c>
      <c r="D2" s="11" t="s">
        <v>185</v>
      </c>
      <c r="E2" s="11" t="s">
        <v>27</v>
      </c>
      <c r="F2" s="11" t="s">
        <v>29</v>
      </c>
      <c r="G2" s="11" t="s">
        <v>31</v>
      </c>
      <c r="H2" s="11" t="s">
        <v>33</v>
      </c>
      <c r="I2" s="11" t="s">
        <v>35</v>
      </c>
      <c r="J2" s="11" t="s">
        <v>37</v>
      </c>
      <c r="K2" s="11" t="s">
        <v>39</v>
      </c>
      <c r="L2" s="11" t="s">
        <v>41</v>
      </c>
      <c r="M2" s="11" t="s">
        <v>43</v>
      </c>
      <c r="N2" s="11" t="s">
        <v>45</v>
      </c>
      <c r="O2" s="11" t="s">
        <v>47</v>
      </c>
      <c r="P2" s="11" t="s">
        <v>49</v>
      </c>
      <c r="Q2" s="11" t="s">
        <v>51</v>
      </c>
      <c r="R2" s="11" t="s">
        <v>53</v>
      </c>
      <c r="S2" s="11" t="s">
        <v>55</v>
      </c>
      <c r="T2" s="11" t="s">
        <v>57</v>
      </c>
      <c r="U2" s="11" t="s">
        <v>59</v>
      </c>
      <c r="V2" s="11" t="s">
        <v>61</v>
      </c>
      <c r="W2" s="11" t="s">
        <v>63</v>
      </c>
      <c r="X2" s="11" t="s">
        <v>65</v>
      </c>
      <c r="Y2" s="11" t="s">
        <v>67</v>
      </c>
      <c r="Z2" s="11" t="s">
        <v>69</v>
      </c>
      <c r="AA2" s="11" t="s">
        <v>71</v>
      </c>
      <c r="AB2" s="11" t="s">
        <v>73</v>
      </c>
      <c r="AC2" s="11" t="s">
        <v>75</v>
      </c>
      <c r="AD2" s="11" t="s">
        <v>77</v>
      </c>
      <c r="AE2" s="11" t="s">
        <v>79</v>
      </c>
      <c r="AF2" s="11" t="s">
        <v>81</v>
      </c>
      <c r="AG2" s="11" t="s">
        <v>83</v>
      </c>
      <c r="AH2" s="11" t="s">
        <v>85</v>
      </c>
      <c r="AI2" s="11" t="s">
        <v>87</v>
      </c>
      <c r="AJ2" s="11" t="s">
        <v>89</v>
      </c>
      <c r="AK2" s="11" t="s">
        <v>91</v>
      </c>
      <c r="AL2" s="11" t="s">
        <v>93</v>
      </c>
      <c r="AM2" s="11" t="s">
        <v>95</v>
      </c>
      <c r="AN2" s="11" t="s">
        <v>97</v>
      </c>
      <c r="AO2" s="11" t="s">
        <v>99</v>
      </c>
      <c r="AP2" s="11" t="s">
        <v>101</v>
      </c>
      <c r="AQ2" s="11" t="s">
        <v>103</v>
      </c>
      <c r="AR2" s="11" t="s">
        <v>105</v>
      </c>
      <c r="AS2" s="11" t="s">
        <v>107</v>
      </c>
      <c r="AT2" s="11" t="s">
        <v>109</v>
      </c>
      <c r="AU2" s="11" t="s">
        <v>111</v>
      </c>
      <c r="AV2" s="11" t="s">
        <v>113</v>
      </c>
      <c r="AW2" s="11" t="s">
        <v>115</v>
      </c>
      <c r="AX2" s="11" t="s">
        <v>117</v>
      </c>
      <c r="AY2" s="11" t="s">
        <v>119</v>
      </c>
      <c r="AZ2" s="11" t="s">
        <v>121</v>
      </c>
      <c r="BA2" s="11" t="s">
        <v>123</v>
      </c>
      <c r="BB2" s="11" t="s">
        <v>125</v>
      </c>
      <c r="BC2" s="11" t="s">
        <v>127</v>
      </c>
      <c r="BD2" s="11" t="s">
        <v>129</v>
      </c>
      <c r="BE2" s="11" t="s">
        <v>131</v>
      </c>
      <c r="BF2" s="11" t="s">
        <v>133</v>
      </c>
      <c r="BG2" s="11" t="s">
        <v>135</v>
      </c>
      <c r="BH2" s="11" t="s">
        <v>137</v>
      </c>
      <c r="BI2" s="11" t="s">
        <v>139</v>
      </c>
      <c r="BJ2" s="11" t="s">
        <v>141</v>
      </c>
      <c r="BK2" s="11" t="s">
        <v>143</v>
      </c>
      <c r="BL2" s="11" t="s">
        <v>145</v>
      </c>
      <c r="BM2" s="11" t="s">
        <v>147</v>
      </c>
      <c r="BN2" s="11" t="s">
        <v>149</v>
      </c>
      <c r="BO2" s="11" t="s">
        <v>151</v>
      </c>
      <c r="BP2" s="11" t="s">
        <v>153</v>
      </c>
      <c r="BQ2" s="11" t="s">
        <v>155</v>
      </c>
      <c r="BR2" s="11" t="s">
        <v>157</v>
      </c>
      <c r="BS2" s="11" t="s">
        <v>159</v>
      </c>
      <c r="BT2" s="11" t="s">
        <v>161</v>
      </c>
      <c r="BU2" s="11" t="s">
        <v>163</v>
      </c>
      <c r="BV2" s="11" t="s">
        <v>165</v>
      </c>
      <c r="BW2" s="11" t="s">
        <v>167</v>
      </c>
      <c r="BX2" s="11" t="s">
        <v>169</v>
      </c>
      <c r="BY2" s="11" t="s">
        <v>189</v>
      </c>
      <c r="BZ2" s="11" t="s">
        <v>192</v>
      </c>
      <c r="CA2" s="11" t="s">
        <v>194</v>
      </c>
      <c r="CB2" s="11" t="s">
        <v>196</v>
      </c>
      <c r="CC2" s="11" t="s">
        <v>198</v>
      </c>
      <c r="CD2" s="11" t="s">
        <v>200</v>
      </c>
      <c r="CE2" s="11" t="s">
        <v>202</v>
      </c>
      <c r="CF2" s="11" t="s">
        <v>204</v>
      </c>
      <c r="CG2" s="11" t="s">
        <v>206</v>
      </c>
      <c r="CH2" s="11" t="s">
        <v>208</v>
      </c>
      <c r="CI2" s="11" t="s">
        <v>210</v>
      </c>
      <c r="CJ2" s="11" t="s">
        <v>212</v>
      </c>
      <c r="CK2" s="11" t="s">
        <v>214</v>
      </c>
      <c r="CL2" s="11" t="s">
        <v>216</v>
      </c>
      <c r="CM2" s="11" t="s">
        <v>218</v>
      </c>
      <c r="CN2" s="11" t="s">
        <v>220</v>
      </c>
      <c r="CO2" s="11" t="s">
        <v>222</v>
      </c>
      <c r="CP2" s="11" t="s">
        <v>224</v>
      </c>
      <c r="CQ2" s="11" t="s">
        <v>226</v>
      </c>
      <c r="CR2" s="11" t="s">
        <v>228</v>
      </c>
      <c r="CS2" s="11" t="s">
        <v>230</v>
      </c>
      <c r="CT2" s="11" t="s">
        <v>232</v>
      </c>
      <c r="CU2" s="11" t="s">
        <v>234</v>
      </c>
      <c r="CV2" s="11" t="s">
        <v>236</v>
      </c>
      <c r="CW2" s="11" t="s">
        <v>238</v>
      </c>
      <c r="CX2" s="11" t="s">
        <v>240</v>
      </c>
      <c r="CY2" s="11" t="s">
        <v>242</v>
      </c>
      <c r="CZ2" s="11" t="s">
        <v>244</v>
      </c>
      <c r="DA2" s="11" t="s">
        <v>246</v>
      </c>
      <c r="DB2" s="11" t="s">
        <v>248</v>
      </c>
      <c r="DC2" s="11" t="s">
        <v>250</v>
      </c>
      <c r="DD2" s="11" t="s">
        <v>252</v>
      </c>
      <c r="DE2" s="11" t="s">
        <v>254</v>
      </c>
      <c r="DF2" s="11" t="s">
        <v>256</v>
      </c>
      <c r="DG2" s="11" t="s">
        <v>258</v>
      </c>
      <c r="DH2" s="11" t="s">
        <v>260</v>
      </c>
      <c r="DI2" s="11" t="s">
        <v>262</v>
      </c>
      <c r="DJ2" s="11" t="s">
        <v>264</v>
      </c>
      <c r="DK2" s="11" t="s">
        <v>266</v>
      </c>
      <c r="DL2" s="11" t="s">
        <v>268</v>
      </c>
      <c r="DM2" s="11" t="s">
        <v>270</v>
      </c>
      <c r="DN2" s="11" t="s">
        <v>272</v>
      </c>
      <c r="DO2" s="11" t="s">
        <v>274</v>
      </c>
      <c r="DP2" s="11" t="s">
        <v>276</v>
      </c>
      <c r="DQ2" s="11" t="s">
        <v>278</v>
      </c>
      <c r="DR2" s="11" t="s">
        <v>280</v>
      </c>
      <c r="DS2" s="11" t="s">
        <v>282</v>
      </c>
      <c r="DT2" s="11" t="s">
        <v>284</v>
      </c>
      <c r="DU2" s="11" t="s">
        <v>286</v>
      </c>
      <c r="DV2" s="11" t="s">
        <v>288</v>
      </c>
      <c r="DW2" s="11" t="s">
        <v>290</v>
      </c>
      <c r="DX2" s="11" t="s">
        <v>292</v>
      </c>
      <c r="DY2" s="11" t="s">
        <v>294</v>
      </c>
      <c r="DZ2" s="11" t="s">
        <v>296</v>
      </c>
      <c r="EA2" s="11" t="s">
        <v>298</v>
      </c>
      <c r="EB2" s="11" t="s">
        <v>300</v>
      </c>
      <c r="EC2" s="11" t="s">
        <v>302</v>
      </c>
      <c r="ED2" s="11" t="s">
        <v>304</v>
      </c>
      <c r="EE2" s="11" t="s">
        <v>306</v>
      </c>
      <c r="EF2" s="11" t="s">
        <v>308</v>
      </c>
      <c r="EG2" s="11" t="s">
        <v>310</v>
      </c>
      <c r="EH2" s="11" t="s">
        <v>312</v>
      </c>
      <c r="EI2" s="11" t="s">
        <v>314</v>
      </c>
      <c r="EJ2" s="11" t="s">
        <v>316</v>
      </c>
      <c r="EK2" s="11" t="s">
        <v>318</v>
      </c>
      <c r="EL2" s="11" t="s">
        <v>320</v>
      </c>
      <c r="EM2" s="11" t="s">
        <v>322</v>
      </c>
      <c r="EN2" s="11" t="s">
        <v>324</v>
      </c>
      <c r="EO2" s="11" t="s">
        <v>326</v>
      </c>
      <c r="EP2" s="11" t="s">
        <v>328</v>
      </c>
      <c r="EQ2" s="11" t="s">
        <v>330</v>
      </c>
      <c r="ER2" s="11" t="s">
        <v>332</v>
      </c>
      <c r="ES2" s="11" t="s">
        <v>334</v>
      </c>
      <c r="ET2" s="11" t="s">
        <v>336</v>
      </c>
      <c r="EU2" s="11" t="s">
        <v>338</v>
      </c>
      <c r="EV2" s="11" t="s">
        <v>340</v>
      </c>
      <c r="EW2" s="11" t="s">
        <v>342</v>
      </c>
      <c r="EX2" s="11" t="s">
        <v>344</v>
      </c>
      <c r="EY2" s="11" t="s">
        <v>346</v>
      </c>
      <c r="EZ2" s="11" t="s">
        <v>348</v>
      </c>
      <c r="FA2" s="11" t="s">
        <v>350</v>
      </c>
      <c r="FB2" s="11" t="s">
        <v>352</v>
      </c>
      <c r="FC2" s="11" t="s">
        <v>354</v>
      </c>
      <c r="FD2" s="11" t="s">
        <v>356</v>
      </c>
      <c r="FE2" s="11" t="s">
        <v>358</v>
      </c>
      <c r="FF2" s="11" t="s">
        <v>360</v>
      </c>
      <c r="FG2" s="11" t="s">
        <v>362</v>
      </c>
      <c r="FH2" s="11" t="s">
        <v>364</v>
      </c>
      <c r="FI2" s="11" t="s">
        <v>366</v>
      </c>
      <c r="FJ2" s="11" t="s">
        <v>368</v>
      </c>
      <c r="FK2" s="11" t="s">
        <v>370</v>
      </c>
      <c r="FL2" s="11" t="s">
        <v>372</v>
      </c>
      <c r="FM2" s="11" t="s">
        <v>374</v>
      </c>
      <c r="FN2" s="11" t="s">
        <v>376</v>
      </c>
      <c r="FO2" s="11" t="s">
        <v>378</v>
      </c>
      <c r="FP2" s="11" t="s">
        <v>380</v>
      </c>
      <c r="FQ2" s="11" t="s">
        <v>382</v>
      </c>
      <c r="FR2" s="11" t="s">
        <v>384</v>
      </c>
      <c r="FS2" s="11" t="s">
        <v>386</v>
      </c>
      <c r="FT2" s="11" t="s">
        <v>388</v>
      </c>
      <c r="FU2" s="11" t="s">
        <v>390</v>
      </c>
    </row>
    <row r="3" spans="1:177" ht="45" customHeight="1">
      <c r="A3" s="9"/>
      <c r="B3" s="9"/>
      <c r="C3" s="9"/>
      <c r="D3" s="9"/>
      <c r="E3" s="12" t="s">
        <v>186</v>
      </c>
      <c r="F3" s="12" t="s">
        <v>186</v>
      </c>
      <c r="G3" s="12" t="s">
        <v>186</v>
      </c>
      <c r="H3" s="12" t="s">
        <v>186</v>
      </c>
      <c r="I3" s="12" t="s">
        <v>186</v>
      </c>
      <c r="J3" s="12" t="s">
        <v>186</v>
      </c>
      <c r="K3" s="12" t="s">
        <v>186</v>
      </c>
      <c r="L3" s="12" t="s">
        <v>186</v>
      </c>
      <c r="M3" s="12" t="s">
        <v>186</v>
      </c>
      <c r="N3" s="12" t="s">
        <v>186</v>
      </c>
      <c r="O3" s="12" t="s">
        <v>186</v>
      </c>
      <c r="P3" s="12" t="s">
        <v>186</v>
      </c>
      <c r="Q3" s="12" t="s">
        <v>186</v>
      </c>
      <c r="R3" s="12" t="s">
        <v>186</v>
      </c>
      <c r="S3" s="12" t="s">
        <v>186</v>
      </c>
      <c r="T3" s="12" t="s">
        <v>186</v>
      </c>
      <c r="U3" s="12" t="s">
        <v>186</v>
      </c>
      <c r="V3" s="12" t="s">
        <v>186</v>
      </c>
      <c r="W3" s="12" t="s">
        <v>186</v>
      </c>
      <c r="X3" s="12" t="s">
        <v>186</v>
      </c>
      <c r="Y3" s="12" t="s">
        <v>186</v>
      </c>
      <c r="Z3" s="12" t="s">
        <v>186</v>
      </c>
      <c r="AA3" s="12" t="s">
        <v>186</v>
      </c>
      <c r="AB3" s="12" t="s">
        <v>186</v>
      </c>
      <c r="AC3" s="12" t="s">
        <v>186</v>
      </c>
      <c r="AD3" s="12" t="s">
        <v>186</v>
      </c>
      <c r="AE3" s="12" t="s">
        <v>186</v>
      </c>
      <c r="AF3" s="12" t="s">
        <v>186</v>
      </c>
      <c r="AG3" s="12" t="s">
        <v>186</v>
      </c>
      <c r="AH3" s="12" t="s">
        <v>186</v>
      </c>
      <c r="AI3" s="12" t="s">
        <v>186</v>
      </c>
      <c r="AJ3" s="12" t="s">
        <v>186</v>
      </c>
      <c r="AK3" s="12" t="s">
        <v>186</v>
      </c>
      <c r="AL3" s="12" t="s">
        <v>186</v>
      </c>
      <c r="AM3" s="12" t="s">
        <v>186</v>
      </c>
      <c r="AN3" s="12" t="s">
        <v>186</v>
      </c>
      <c r="AO3" s="12" t="s">
        <v>186</v>
      </c>
      <c r="AP3" s="12" t="s">
        <v>186</v>
      </c>
      <c r="AQ3" s="12" t="s">
        <v>186</v>
      </c>
      <c r="AR3" s="12" t="s">
        <v>187</v>
      </c>
      <c r="AS3" s="12" t="s">
        <v>186</v>
      </c>
      <c r="AT3" s="12" t="s">
        <v>186</v>
      </c>
      <c r="AU3" s="12" t="s">
        <v>186</v>
      </c>
      <c r="AV3" s="12" t="s">
        <v>186</v>
      </c>
      <c r="AW3" s="12" t="s">
        <v>186</v>
      </c>
      <c r="AX3" s="12" t="s">
        <v>186</v>
      </c>
      <c r="AY3" s="12" t="s">
        <v>186</v>
      </c>
      <c r="AZ3" s="12" t="s">
        <v>186</v>
      </c>
      <c r="BA3" s="12" t="s">
        <v>186</v>
      </c>
      <c r="BB3" s="12" t="s">
        <v>186</v>
      </c>
      <c r="BC3" s="12" t="s">
        <v>186</v>
      </c>
      <c r="BD3" s="12" t="s">
        <v>186</v>
      </c>
      <c r="BE3" s="12" t="s">
        <v>186</v>
      </c>
      <c r="BF3" s="12" t="s">
        <v>186</v>
      </c>
      <c r="BG3" s="12" t="s">
        <v>186</v>
      </c>
      <c r="BH3" s="12" t="s">
        <v>186</v>
      </c>
      <c r="BI3" s="12" t="s">
        <v>186</v>
      </c>
      <c r="BJ3" s="12" t="s">
        <v>186</v>
      </c>
      <c r="BK3" s="12" t="s">
        <v>186</v>
      </c>
      <c r="BL3" s="12" t="s">
        <v>186</v>
      </c>
      <c r="BM3" s="12" t="s">
        <v>186</v>
      </c>
      <c r="BN3" s="12" t="s">
        <v>186</v>
      </c>
      <c r="BO3" s="12" t="s">
        <v>186</v>
      </c>
      <c r="BP3" s="12" t="s">
        <v>186</v>
      </c>
      <c r="BQ3" s="12" t="s">
        <v>186</v>
      </c>
      <c r="BR3" s="12" t="s">
        <v>186</v>
      </c>
      <c r="BS3" s="12" t="s">
        <v>187</v>
      </c>
      <c r="BT3" s="12" t="s">
        <v>186</v>
      </c>
      <c r="BU3" s="12" t="s">
        <v>186</v>
      </c>
      <c r="BV3" s="12" t="s">
        <v>186</v>
      </c>
      <c r="BW3" s="12" t="s">
        <v>186</v>
      </c>
      <c r="BX3" s="12" t="s">
        <v>186</v>
      </c>
      <c r="BY3" s="13" t="s">
        <v>190</v>
      </c>
      <c r="BZ3" s="13" t="s">
        <v>190</v>
      </c>
      <c r="CA3" s="13" t="s">
        <v>190</v>
      </c>
      <c r="CB3" s="13" t="s">
        <v>190</v>
      </c>
      <c r="CC3" s="13" t="s">
        <v>190</v>
      </c>
      <c r="CD3" s="13" t="s">
        <v>190</v>
      </c>
      <c r="CE3" s="13" t="s">
        <v>190</v>
      </c>
      <c r="CF3" s="13" t="s">
        <v>190</v>
      </c>
      <c r="CG3" s="13" t="s">
        <v>190</v>
      </c>
      <c r="CH3" s="13" t="s">
        <v>190</v>
      </c>
      <c r="CI3" s="13" t="s">
        <v>190</v>
      </c>
      <c r="CJ3" s="13" t="s">
        <v>190</v>
      </c>
      <c r="CK3" s="13" t="s">
        <v>190</v>
      </c>
      <c r="CL3" s="13" t="s">
        <v>190</v>
      </c>
      <c r="CM3" s="13" t="s">
        <v>190</v>
      </c>
      <c r="CN3" s="13" t="s">
        <v>190</v>
      </c>
      <c r="CO3" s="13" t="s">
        <v>190</v>
      </c>
      <c r="CP3" s="13" t="s">
        <v>190</v>
      </c>
      <c r="CQ3" s="13" t="s">
        <v>190</v>
      </c>
      <c r="CR3" s="13" t="s">
        <v>190</v>
      </c>
      <c r="CS3" s="13" t="s">
        <v>190</v>
      </c>
      <c r="CT3" s="13" t="s">
        <v>190</v>
      </c>
      <c r="CU3" s="13" t="s">
        <v>190</v>
      </c>
      <c r="CV3" s="13" t="s">
        <v>190</v>
      </c>
      <c r="CW3" s="13" t="s">
        <v>190</v>
      </c>
      <c r="CX3" s="13" t="s">
        <v>190</v>
      </c>
      <c r="CY3" s="13" t="s">
        <v>190</v>
      </c>
      <c r="CZ3" s="13" t="s">
        <v>190</v>
      </c>
      <c r="DA3" s="13" t="s">
        <v>190</v>
      </c>
      <c r="DB3" s="13" t="s">
        <v>190</v>
      </c>
      <c r="DC3" s="13" t="s">
        <v>190</v>
      </c>
      <c r="DD3" s="13" t="s">
        <v>190</v>
      </c>
      <c r="DE3" s="13" t="s">
        <v>190</v>
      </c>
      <c r="DF3" s="13" t="s">
        <v>190</v>
      </c>
      <c r="DG3" s="13" t="s">
        <v>190</v>
      </c>
      <c r="DH3" s="13" t="s">
        <v>190</v>
      </c>
      <c r="DI3" s="13" t="s">
        <v>190</v>
      </c>
      <c r="DJ3" s="13" t="s">
        <v>190</v>
      </c>
      <c r="DK3" s="13" t="s">
        <v>190</v>
      </c>
      <c r="DL3" s="13" t="s">
        <v>190</v>
      </c>
      <c r="DM3" s="13" t="s">
        <v>190</v>
      </c>
      <c r="DN3" s="13" t="s">
        <v>190</v>
      </c>
      <c r="DO3" s="13" t="s">
        <v>190</v>
      </c>
      <c r="DP3" s="13" t="s">
        <v>190</v>
      </c>
      <c r="DQ3" s="13" t="s">
        <v>190</v>
      </c>
      <c r="DR3" s="13" t="s">
        <v>190</v>
      </c>
      <c r="DS3" s="13" t="s">
        <v>190</v>
      </c>
      <c r="DT3" s="13" t="s">
        <v>190</v>
      </c>
      <c r="DU3" s="13" t="s">
        <v>190</v>
      </c>
      <c r="DV3" s="13" t="s">
        <v>190</v>
      </c>
      <c r="DW3" s="13" t="s">
        <v>190</v>
      </c>
      <c r="DX3" s="13" t="s">
        <v>190</v>
      </c>
      <c r="DY3" s="13" t="s">
        <v>190</v>
      </c>
      <c r="DZ3" s="13" t="s">
        <v>190</v>
      </c>
      <c r="EA3" s="13" t="s">
        <v>190</v>
      </c>
      <c r="EB3" s="13" t="s">
        <v>190</v>
      </c>
      <c r="EC3" s="13" t="s">
        <v>190</v>
      </c>
      <c r="ED3" s="13" t="s">
        <v>190</v>
      </c>
      <c r="EE3" s="13" t="s">
        <v>190</v>
      </c>
      <c r="EF3" s="13" t="s">
        <v>190</v>
      </c>
      <c r="EG3" s="13" t="s">
        <v>190</v>
      </c>
      <c r="EH3" s="13" t="s">
        <v>190</v>
      </c>
      <c r="EI3" s="13" t="s">
        <v>190</v>
      </c>
      <c r="EJ3" s="13" t="s">
        <v>190</v>
      </c>
      <c r="EK3" s="13" t="s">
        <v>190</v>
      </c>
      <c r="EL3" s="13" t="s">
        <v>190</v>
      </c>
      <c r="EM3" s="13" t="s">
        <v>190</v>
      </c>
      <c r="EN3" s="13" t="s">
        <v>190</v>
      </c>
      <c r="EO3" s="13" t="s">
        <v>190</v>
      </c>
      <c r="EP3" s="13" t="s">
        <v>190</v>
      </c>
      <c r="EQ3" s="13" t="s">
        <v>190</v>
      </c>
      <c r="ER3" s="13" t="s">
        <v>190</v>
      </c>
      <c r="ES3" s="13" t="s">
        <v>190</v>
      </c>
      <c r="ET3" s="13" t="s">
        <v>190</v>
      </c>
      <c r="EU3" s="13" t="s">
        <v>190</v>
      </c>
      <c r="EV3" s="13" t="s">
        <v>190</v>
      </c>
      <c r="EW3" s="13" t="s">
        <v>190</v>
      </c>
      <c r="EX3" s="13" t="s">
        <v>190</v>
      </c>
      <c r="EY3" s="13" t="s">
        <v>190</v>
      </c>
      <c r="EZ3" s="13" t="s">
        <v>190</v>
      </c>
      <c r="FA3" s="13" t="s">
        <v>190</v>
      </c>
      <c r="FB3" s="13" t="s">
        <v>190</v>
      </c>
      <c r="FC3" s="13" t="s">
        <v>190</v>
      </c>
      <c r="FD3" s="13" t="s">
        <v>190</v>
      </c>
      <c r="FE3" s="13" t="s">
        <v>190</v>
      </c>
      <c r="FF3" s="13" t="s">
        <v>190</v>
      </c>
      <c r="FG3" s="13" t="s">
        <v>190</v>
      </c>
      <c r="FH3" s="13" t="s">
        <v>190</v>
      </c>
      <c r="FI3" s="13" t="s">
        <v>190</v>
      </c>
      <c r="FJ3" s="13" t="s">
        <v>190</v>
      </c>
      <c r="FK3" s="13" t="s">
        <v>190</v>
      </c>
      <c r="FL3" s="13" t="s">
        <v>190</v>
      </c>
      <c r="FM3" s="13" t="s">
        <v>190</v>
      </c>
      <c r="FN3" s="13" t="s">
        <v>190</v>
      </c>
      <c r="FO3" s="13" t="s">
        <v>190</v>
      </c>
      <c r="FP3" s="13" t="s">
        <v>190</v>
      </c>
      <c r="FQ3" s="13" t="s">
        <v>190</v>
      </c>
      <c r="FR3" s="13" t="s">
        <v>190</v>
      </c>
      <c r="FS3" s="13" t="s">
        <v>190</v>
      </c>
      <c r="FT3" s="13" t="s">
        <v>190</v>
      </c>
      <c r="FU3" s="13" t="s">
        <v>190</v>
      </c>
    </row>
    <row r="4" spans="1:177">
      <c r="A4" t="s">
        <v>15</v>
      </c>
      <c r="B4" t="s">
        <v>170</v>
      </c>
      <c r="C4" t="s">
        <v>172</v>
      </c>
      <c r="D4">
        <v>30</v>
      </c>
      <c r="E4" s="14">
        <f>SUM('Plant Inputs'!F4,'Plant Inputs'!F10,'Plant Inputs'!F16)</f>
        <v>2160.0</v>
      </c>
      <c r="F4" s="14">
        <f>SUM('Plant Inputs'!G4,'Plant Inputs'!G10,'Plant Inputs'!G16)</f>
        <v>2141.0</v>
      </c>
      <c r="G4" s="14">
        <f>SUM('Plant Inputs'!H4,'Plant Inputs'!H10,'Plant Inputs'!H16)</f>
        <v>2046.5</v>
      </c>
      <c r="H4" s="14">
        <f>SUM('Plant Inputs'!I4,'Plant Inputs'!I10,'Plant Inputs'!I16)</f>
        <v>62.8</v>
      </c>
      <c r="I4" s="14">
        <f>SUM('Plant Inputs'!J4,'Plant Inputs'!J10,'Plant Inputs'!J16)</f>
        <v>393328.0</v>
      </c>
      <c r="J4" s="14">
        <f>SUM('Plant Inputs'!K4,'Plant Inputs'!K10,'Plant Inputs'!K16)</f>
        <v>397008.0</v>
      </c>
      <c r="K4" s="14">
        <f>SUM('Plant Inputs'!L4,'Plant Inputs'!L10,'Plant Inputs'!L16)</f>
        <v>346056.0</v>
      </c>
      <c r="L4" s="14">
        <f>SUM('Plant Inputs'!M4,'Plant Inputs'!M10,'Plant Inputs'!M16)</f>
        <v>328945.0</v>
      </c>
      <c r="M4" s="14">
        <f>SUM('Plant Inputs'!N4,'Plant Inputs'!N10,'Plant Inputs'!N16)</f>
        <v>321162.0</v>
      </c>
      <c r="N4" s="14">
        <f>SUM('Plant Inputs'!O4,'Plant Inputs'!O10,'Plant Inputs'!O16)</f>
        <v>358136.0</v>
      </c>
      <c r="O4" s="14">
        <f>SUM('Plant Inputs'!P4,'Plant Inputs'!P10,'Plant Inputs'!P16)</f>
        <v>74315.0</v>
      </c>
      <c r="P4" s="14">
        <f>SUM('Plant Inputs'!Q4,'Plant Inputs'!Q10,'Plant Inputs'!Q16)</f>
        <v>64615.0</v>
      </c>
      <c r="Q4" s="14">
        <f>SUM('Plant Inputs'!R4,'Plant Inputs'!R10,'Plant Inputs'!R16)</f>
        <v>11849.0</v>
      </c>
      <c r="R4" s="14">
        <f>SUM('Plant Inputs'!S4,'Plant Inputs'!S10,'Plant Inputs'!S16)</f>
        <v>9.0</v>
      </c>
      <c r="S4" s="14">
        <f>SUM('Plant Inputs'!T4,'Plant Inputs'!T10,'Plant Inputs'!T16)</f>
        <v>47.300000000000004</v>
      </c>
      <c r="T4" s="14">
        <f>SUM('Plant Inputs'!U4,'Plant Inputs'!U10,'Plant Inputs'!U16)</f>
        <v>123.0</v>
      </c>
      <c r="U4" s="14">
        <f>SUM('Plant Inputs'!V4,'Plant Inputs'!V10,'Plant Inputs'!V16)</f>
        <v>115.0</v>
      </c>
      <c r="V4" s="14">
        <f>SUM('Plant Inputs'!W4,'Plant Inputs'!W10,'Plant Inputs'!W16)</f>
        <v>969684.7000000001</v>
      </c>
      <c r="W4" s="14">
        <f>SUM('Plant Inputs'!X4,'Plant Inputs'!X10,'Plant Inputs'!X16)</f>
        <v>232897.8</v>
      </c>
      <c r="X4" s="14">
        <f>SUM('Plant Inputs'!Y4,'Plant Inputs'!Y10,'Plant Inputs'!Y16)</f>
        <v>3580.2000000000003</v>
      </c>
      <c r="Y4" s="14">
        <f>SUM('Plant Inputs'!Z4,'Plant Inputs'!Z10,'Plant Inputs'!Z16)</f>
        <v>663733.0</v>
      </c>
      <c r="Z4" s="14">
        <f>SUM('Plant Inputs'!AA4,'Plant Inputs'!AA10,'Plant Inputs'!AA16)</f>
        <v>230681.0</v>
      </c>
      <c r="AA4" s="14">
        <f>SUM('Plant Inputs'!AB4,'Plant Inputs'!AB10,'Plant Inputs'!AB16)</f>
        <v>1071778.0</v>
      </c>
      <c r="AB4" s="14">
        <f>SUM('Plant Inputs'!AC4,'Plant Inputs'!AC10,'Plant Inputs'!AC16)</f>
        <v>25809.0</v>
      </c>
      <c r="AC4" s="14">
        <f>SUM('Plant Inputs'!AD4,'Plant Inputs'!AD10,'Plant Inputs'!AD16)</f>
        <v>4.0</v>
      </c>
      <c r="AD4" s="14">
        <f>SUM('Plant Inputs'!AE4,'Plant Inputs'!AE10,'Plant Inputs'!AE16)</f>
        <v>221000.0</v>
      </c>
      <c r="AE4" s="14">
        <f>SUM('Plant Inputs'!AF4,'Plant Inputs'!AF10,'Plant Inputs'!AF16)</f>
        <v>0.0</v>
      </c>
      <c r="AF4" s="14">
        <f>SUM('Plant Inputs'!AG4,'Plant Inputs'!AG10,'Plant Inputs'!AG16)</f>
        <v>1.0</v>
      </c>
      <c r="AG4" s="14">
        <f>SUM('Plant Inputs'!AH4,'Plant Inputs'!AH10,'Plant Inputs'!AH16)</f>
        <v>21.0</v>
      </c>
      <c r="AH4" s="14">
        <f>SUM('Plant Inputs'!AI4,'Plant Inputs'!AI10,'Plant Inputs'!AI16)</f>
        <v>0.0</v>
      </c>
      <c r="AI4" s="14">
        <f>SUM('Plant Inputs'!AJ4,'Plant Inputs'!AJ10,'Plant Inputs'!AJ16)</f>
        <v>1.0</v>
      </c>
      <c r="AJ4" s="14">
        <f>SUM('Plant Inputs'!AK4,'Plant Inputs'!AK10,'Plant Inputs'!AK16)</f>
        <v>0.0</v>
      </c>
      <c r="AK4" s="14">
        <f>SUM('Plant Inputs'!AL4,'Plant Inputs'!AL10,'Plant Inputs'!AL16)</f>
        <v>25.0</v>
      </c>
      <c r="AL4" s="14">
        <f>SUM('Plant Inputs'!AM4,'Plant Inputs'!AM10,'Plant Inputs'!AM16)</f>
        <v>7.0</v>
      </c>
      <c r="AM4" s="14">
        <f>SUM('Plant Inputs'!AN4,'Plant Inputs'!AN10,'Plant Inputs'!AN16)</f>
        <v>4.0</v>
      </c>
      <c r="AN4" s="14">
        <f>SUM('Plant Inputs'!AO4,'Plant Inputs'!AO10,'Plant Inputs'!AO16)</f>
        <v>3.0</v>
      </c>
      <c r="AO4" s="14">
        <f>SUM('Plant Inputs'!AP4,'Plant Inputs'!AP10,'Plant Inputs'!AP16)</f>
        <v>1.0</v>
      </c>
      <c r="AP4" s="14">
        <f>SUM('Plant Inputs'!AQ4,'Plant Inputs'!AQ10,'Plant Inputs'!AQ16)</f>
        <v>475.0</v>
      </c>
      <c r="AQ4" s="14">
        <f>SUM('Plant Inputs'!AR4,'Plant Inputs'!AR10,'Plant Inputs'!AR16)</f>
        <v>25.0</v>
      </c>
      <c r="AR4" s="14">
        <f>MIN('Plant Inputs'!AS4,'Plant Inputs'!AS10,'Plant Inputs'!AS16)</f>
        <v>215</v>
      </c>
      <c r="AS4" s="14">
        <f>SUM('Plant Inputs'!AT4,'Plant Inputs'!AT10,'Plant Inputs'!AT16)</f>
        <v>319125.0</v>
      </c>
      <c r="AT4" s="14">
        <f>SUM('Plant Inputs'!AU4,'Plant Inputs'!AU10,'Plant Inputs'!AU16)</f>
        <v>346912.0</v>
      </c>
      <c r="AU4" s="14">
        <f>SUM('Plant Inputs'!AV4,'Plant Inputs'!AV10,'Plant Inputs'!AV16)</f>
        <v>1196058.7</v>
      </c>
      <c r="AV4" s="14">
        <f>SUM('Plant Inputs'!AW4,'Plant Inputs'!AW10,'Plant Inputs'!AW16)</f>
        <v>1304389.1</v>
      </c>
      <c r="AW4" s="14">
        <f>SUM('Plant Inputs'!AX4,'Plant Inputs'!AX10,'Plant Inputs'!AX16)</f>
        <v>62188.40000000001</v>
      </c>
      <c r="AX4" s="14">
        <f>SUM('Plant Inputs'!AY4,'Plant Inputs'!AY10,'Plant Inputs'!AY16)</f>
        <v>46646.5</v>
      </c>
      <c r="AY4" s="14">
        <f>SUM('Plant Inputs'!AZ4,'Plant Inputs'!AZ10,'Plant Inputs'!AZ16)</f>
        <v>545.0</v>
      </c>
      <c r="AZ4" s="14">
        <f>SUM('Plant Inputs'!BA4,'Plant Inputs'!BA10,'Plant Inputs'!BA16)</f>
        <v>493.0</v>
      </c>
      <c r="BA4" s="14">
        <f>SUM('Plant Inputs'!BB4,'Plant Inputs'!BB10,'Plant Inputs'!BB16)</f>
        <v>356576.0</v>
      </c>
      <c r="BB4" s="14">
        <f>SUM('Plant Inputs'!BC4,'Plant Inputs'!BC10,'Plant Inputs'!BC16)</f>
        <v>343275.0</v>
      </c>
      <c r="BC4" s="14">
        <f>SUM('Plant Inputs'!BD4,'Plant Inputs'!BD10,'Plant Inputs'!BD16)</f>
        <v>4065.0</v>
      </c>
      <c r="BD4" s="14">
        <f>SUM('Plant Inputs'!BE4,'Plant Inputs'!BE10,'Plant Inputs'!BE16)</f>
        <v>2114.0</v>
      </c>
      <c r="BE4" s="14">
        <f>SUM('Plant Inputs'!BF4,'Plant Inputs'!BF10,'Plant Inputs'!BF16)</f>
        <v>2242.0</v>
      </c>
      <c r="BF4" s="14">
        <f>SUM('Plant Inputs'!BG4,'Plant Inputs'!BG10,'Plant Inputs'!BG16)</f>
        <v>517470.19999999995</v>
      </c>
      <c r="BG4" s="14">
        <f>SUM('Plant Inputs'!BH4,'Plant Inputs'!BH10,'Plant Inputs'!BH16)</f>
        <v>198437.80000000002</v>
      </c>
      <c r="BH4" s="14">
        <f>SUM('Plant Inputs'!BI4,'Plant Inputs'!BI10,'Plant Inputs'!BI16)</f>
        <v>0.0</v>
      </c>
      <c r="BI4" s="14">
        <f>SUM('Plant Inputs'!BJ4,'Plant Inputs'!BJ10,'Plant Inputs'!BJ16)</f>
        <v>1.0</v>
      </c>
      <c r="BJ4" s="14">
        <f>SUM('Plant Inputs'!BK4,'Plant Inputs'!BK10,'Plant Inputs'!BK16)</f>
        <v>2.0</v>
      </c>
      <c r="BK4" s="14">
        <f>SUM('Plant Inputs'!BL4,'Plant Inputs'!BL10,'Plant Inputs'!BL16)</f>
        <v>2.0</v>
      </c>
      <c r="BL4" s="14">
        <f>SUM('Plant Inputs'!BM4,'Plant Inputs'!BM10,'Plant Inputs'!BM16)</f>
        <v>3.0</v>
      </c>
      <c r="BM4" s="14">
        <f>SUM('Plant Inputs'!BN4,'Plant Inputs'!BN10,'Plant Inputs'!BN16)</f>
        <v>0.0</v>
      </c>
      <c r="BN4" s="14">
        <f>SUM('Plant Inputs'!BO4,'Plant Inputs'!BO10,'Plant Inputs'!BO16)</f>
        <v>0.0</v>
      </c>
      <c r="BO4" s="14">
        <f>SUM('Plant Inputs'!BP4,'Plant Inputs'!BP10,'Plant Inputs'!BP16)</f>
        <v>0.0</v>
      </c>
      <c r="BP4" s="14">
        <f>SUM('Plant Inputs'!BQ4,'Plant Inputs'!BQ10,'Plant Inputs'!BQ16)</f>
        <v>0.0</v>
      </c>
      <c r="BQ4" s="14">
        <f>SUM('Plant Inputs'!BR4,'Plant Inputs'!BR10,'Plant Inputs'!BR16)</f>
        <v>0.0</v>
      </c>
      <c r="BR4" s="14">
        <f>SUM('Plant Inputs'!BS4,'Plant Inputs'!BS10,'Plant Inputs'!BS16)</f>
        <v>0.0</v>
      </c>
      <c r="BS4" s="14">
        <f>MIN('Plant Inputs'!BT4,'Plant Inputs'!BT10,'Plant Inputs'!BT16)</f>
        <v>17</v>
      </c>
      <c r="BT4" s="14">
        <f>SUM('Plant Inputs'!BU4,'Plant Inputs'!BU10,'Plant Inputs'!BU16)</f>
        <v>349487.0</v>
      </c>
      <c r="BU4" s="14">
        <f>SUM('Plant Inputs'!BV4,'Plant Inputs'!BV10,'Plant Inputs'!BV16)</f>
        <v>339473.0</v>
      </c>
      <c r="BV4" s="14">
        <f>SUM('Plant Inputs'!BW4,'Plant Inputs'!BW10,'Plant Inputs'!BW16)</f>
        <v>150111897.0</v>
      </c>
      <c r="BW4" s="14">
        <f>SUM('Plant Inputs'!BX4,'Plant Inputs'!BX10,'Plant Inputs'!BX16)</f>
        <v>393328.0</v>
      </c>
      <c r="BX4" s="14">
        <f>SUM('Plant Inputs'!BY4,'Plant Inputs'!BY10,'Plant Inputs'!BY16)</f>
        <v>11718.0</v>
      </c>
      <c r="BY4" s="16">
        <v>54938.6</v>
      </c>
      <c r="BZ4" s="16">
        <v>35929.2</v>
      </c>
      <c r="CA4" s="16">
        <v>10800000</v>
      </c>
      <c r="CB4" s="16">
        <v>4736181</v>
      </c>
      <c r="CC4" s="16">
        <v>936181</v>
      </c>
      <c r="CD4" s="16">
        <v>436986.6</v>
      </c>
      <c r="CE4" s="16">
        <v>39900</v>
      </c>
      <c r="CF4" s="16">
        <v>442623.4</v>
      </c>
      <c r="CG4" s="16">
        <v>1357977.9</v>
      </c>
      <c r="CH4" s="16">
        <v>167684.4</v>
      </c>
      <c r="CI4" s="16">
        <v>1183542.5</v>
      </c>
      <c r="CJ4" s="16">
        <v>2022544.1</v>
      </c>
      <c r="CK4" s="16">
        <v>1234856.8</v>
      </c>
      <c r="CL4" s="16">
        <v>1354000.8</v>
      </c>
      <c r="CM4" s="16">
        <v>1181957.8</v>
      </c>
      <c r="CN4" s="16">
        <v>519.8</v>
      </c>
      <c r="CO4" s="16">
        <v>115844.2</v>
      </c>
      <c r="CP4" s="16">
        <v>115844.2</v>
      </c>
      <c r="CQ4" s="16">
        <v>418</v>
      </c>
      <c r="CR4" s="16">
        <v>18974</v>
      </c>
      <c r="CS4" s="16">
        <v>18810</v>
      </c>
      <c r="CT4" s="16">
        <v>0</v>
      </c>
      <c r="CU4" s="16">
        <v>997106.1</v>
      </c>
      <c r="CV4" s="16">
        <v>1011641.5</v>
      </c>
      <c r="CW4" s="16">
        <v>195977</v>
      </c>
      <c r="CX4" s="16">
        <v>3747391.4</v>
      </c>
      <c r="CY4" s="16">
        <v>1976093.2</v>
      </c>
      <c r="CZ4" s="16">
        <v>425331</v>
      </c>
      <c r="DA4" s="16">
        <v>314182</v>
      </c>
      <c r="DB4" s="16">
        <v>339270.5</v>
      </c>
      <c r="DC4" s="16">
        <v>248759</v>
      </c>
      <c r="DD4" s="16">
        <v>5649.1</v>
      </c>
      <c r="DE4" s="16">
        <v>6321.3</v>
      </c>
      <c r="DF4" s="16">
        <v>2572845.7</v>
      </c>
      <c r="DG4" s="16">
        <v>1994270.3</v>
      </c>
      <c r="DH4" s="16">
        <v>1000000</v>
      </c>
      <c r="DI4" s="16">
        <v>449046.9</v>
      </c>
      <c r="DJ4" s="16">
        <v>76777.10000000001</v>
      </c>
      <c r="DK4" s="16">
        <v>380000</v>
      </c>
      <c r="DL4" s="16">
        <v>22271.5</v>
      </c>
      <c r="DM4" s="16">
        <v>5</v>
      </c>
      <c r="DN4" s="16">
        <v>1</v>
      </c>
      <c r="DO4" s="16">
        <v>0</v>
      </c>
      <c r="DP4" s="16">
        <v>0</v>
      </c>
      <c r="DQ4" s="16">
        <v>7</v>
      </c>
      <c r="DR4" s="16">
        <v>21</v>
      </c>
      <c r="DS4" s="16">
        <v>5</v>
      </c>
      <c r="DT4" s="16">
        <v>2</v>
      </c>
      <c r="DU4" s="16">
        <v>1</v>
      </c>
      <c r="DV4" s="16">
        <v>60</v>
      </c>
      <c r="DW4" s="16">
        <v>18</v>
      </c>
      <c r="DX4" s="16">
        <v>4834.8</v>
      </c>
      <c r="DY4" s="16">
        <v>3489.6</v>
      </c>
      <c r="DZ4" s="16">
        <v>987.8</v>
      </c>
      <c r="EA4" s="16">
        <v>352.3</v>
      </c>
      <c r="EB4" s="16">
        <v>600.2</v>
      </c>
      <c r="EC4" s="16">
        <v>72</v>
      </c>
      <c r="ED4" s="16">
        <v>69</v>
      </c>
      <c r="EE4" s="16">
        <v>1</v>
      </c>
      <c r="EF4" s="16">
        <v>0</v>
      </c>
      <c r="EG4" s="16">
        <v>2</v>
      </c>
      <c r="EH4" s="16">
        <v>1</v>
      </c>
      <c r="EI4" s="16">
        <v>0</v>
      </c>
      <c r="EJ4" s="16">
        <v>1</v>
      </c>
      <c r="EK4" s="16">
        <v>1</v>
      </c>
      <c r="EL4" s="16">
        <v>0</v>
      </c>
      <c r="EM4" s="16">
        <v>0</v>
      </c>
      <c r="EN4" s="16">
        <v>0</v>
      </c>
      <c r="EO4" s="16">
        <v>0</v>
      </c>
      <c r="EP4" s="16">
        <v>0</v>
      </c>
      <c r="EQ4" s="16">
        <v>1</v>
      </c>
      <c r="ER4" s="16">
        <v>1</v>
      </c>
      <c r="ES4" s="16">
        <v>0</v>
      </c>
      <c r="ET4" s="16">
        <v>1</v>
      </c>
      <c r="EU4" s="16">
        <v>2</v>
      </c>
      <c r="EV4" s="16">
        <v>0</v>
      </c>
      <c r="EW4" s="16">
        <v>0</v>
      </c>
      <c r="EX4" s="16">
        <v>0</v>
      </c>
      <c r="EY4" s="16">
        <v>50</v>
      </c>
      <c r="EZ4" s="16">
        <v>43</v>
      </c>
      <c r="FA4" s="16">
        <v>2</v>
      </c>
      <c r="FB4" s="16">
        <v>55</v>
      </c>
      <c r="FC4" s="16">
        <v>28</v>
      </c>
      <c r="FD4" s="16">
        <v>23</v>
      </c>
      <c r="FE4" s="16">
        <v>26</v>
      </c>
      <c r="FF4" s="16">
        <v>0</v>
      </c>
      <c r="FG4" s="16">
        <v>1</v>
      </c>
      <c r="FH4" s="16">
        <v>0</v>
      </c>
      <c r="FI4" s="16">
        <v>482362</v>
      </c>
      <c r="FJ4" s="16">
        <v>479530</v>
      </c>
      <c r="FK4" s="16">
        <v>400</v>
      </c>
      <c r="FL4" s="16">
        <v>381</v>
      </c>
      <c r="FM4" s="16">
        <v>0</v>
      </c>
      <c r="FN4" s="16">
        <v>0</v>
      </c>
      <c r="FO4" s="16">
        <v>0</v>
      </c>
      <c r="FP4" s="16">
        <v>6</v>
      </c>
      <c r="FQ4" s="16">
        <v>17.8</v>
      </c>
      <c r="FR4" s="16">
        <v>4</v>
      </c>
      <c r="FS4" s="16">
        <v>0</v>
      </c>
      <c r="FT4" s="16">
        <v>0</v>
      </c>
      <c r="FU4" s="16">
        <v>0</v>
      </c>
    </row>
    <row r="5" spans="1:177">
      <c r="A5" t="s">
        <v>15</v>
      </c>
      <c r="B5" t="s">
        <v>170</v>
      </c>
      <c r="C5" t="s">
        <v>173</v>
      </c>
      <c r="D5">
        <v>31</v>
      </c>
      <c r="E5" s="14">
        <f>SUM('Plant Inputs'!F5,'Plant Inputs'!F11,'Plant Inputs'!F17)</f>
        <v>2232.0</v>
      </c>
      <c r="F5" s="14">
        <f>SUM('Plant Inputs'!G5,'Plant Inputs'!G11,'Plant Inputs'!G17)</f>
        <v>2109.0</v>
      </c>
      <c r="G5" s="14">
        <f>SUM('Plant Inputs'!H5,'Plant Inputs'!H11,'Plant Inputs'!H17)</f>
        <v>1977.4</v>
      </c>
      <c r="H5" s="14">
        <f>SUM('Plant Inputs'!I5,'Plant Inputs'!I11,'Plant Inputs'!I17)</f>
        <v>88.0</v>
      </c>
      <c r="I5" s="14">
        <f>SUM('Plant Inputs'!J5,'Plant Inputs'!J11,'Plant Inputs'!J17)</f>
        <v>384488.0</v>
      </c>
      <c r="J5" s="14">
        <f>SUM('Plant Inputs'!K5,'Plant Inputs'!K11,'Plant Inputs'!K17)</f>
        <v>410242.0</v>
      </c>
      <c r="K5" s="14">
        <f>SUM('Plant Inputs'!L5,'Plant Inputs'!L11,'Plant Inputs'!L17)</f>
        <v>346126.0</v>
      </c>
      <c r="L5" s="14">
        <f>SUM('Plant Inputs'!M5,'Plant Inputs'!M11,'Plant Inputs'!M17)</f>
        <v>313194.0</v>
      </c>
      <c r="M5" s="14">
        <f>SUM('Plant Inputs'!N5,'Plant Inputs'!N11,'Plant Inputs'!N17)</f>
        <v>301438.0</v>
      </c>
      <c r="N5" s="14">
        <f>SUM('Plant Inputs'!O5,'Plant Inputs'!O11,'Plant Inputs'!O17)</f>
        <v>328020.0</v>
      </c>
      <c r="O5" s="14">
        <f>SUM('Plant Inputs'!P5,'Plant Inputs'!P11,'Plant Inputs'!P17)</f>
        <v>63947.0</v>
      </c>
      <c r="P5" s="14">
        <f>SUM('Plant Inputs'!Q5,'Plant Inputs'!Q11,'Plant Inputs'!Q17)</f>
        <v>54804.0</v>
      </c>
      <c r="Q5" s="14">
        <f>SUM('Plant Inputs'!R5,'Plant Inputs'!R11,'Plant Inputs'!R17)</f>
        <v>16433.0</v>
      </c>
      <c r="R5" s="14">
        <f>SUM('Plant Inputs'!S5,'Plant Inputs'!S11,'Plant Inputs'!S17)</f>
        <v>12.0</v>
      </c>
      <c r="S5" s="14">
        <f>SUM('Plant Inputs'!T5,'Plant Inputs'!T11,'Plant Inputs'!T17)</f>
        <v>74.4</v>
      </c>
      <c r="T5" s="14">
        <f>SUM('Plant Inputs'!U5,'Plant Inputs'!U11,'Plant Inputs'!U17)</f>
        <v>146.0</v>
      </c>
      <c r="U5" s="14">
        <f>SUM('Plant Inputs'!V5,'Plant Inputs'!V11,'Plant Inputs'!V17)</f>
        <v>131.0</v>
      </c>
      <c r="V5" s="14">
        <f>SUM('Plant Inputs'!W5,'Plant Inputs'!W11,'Plant Inputs'!W17)</f>
        <v>1003677.6000000001</v>
      </c>
      <c r="W5" s="14">
        <f>SUM('Plant Inputs'!X5,'Plant Inputs'!X11,'Plant Inputs'!X17)</f>
        <v>266120.60000000003</v>
      </c>
      <c r="X5" s="14">
        <f>SUM('Plant Inputs'!Y5,'Plant Inputs'!Y11,'Plant Inputs'!Y17)</f>
        <v>3769.6</v>
      </c>
      <c r="Y5" s="14">
        <f>SUM('Plant Inputs'!Z5,'Plant Inputs'!Z11,'Plant Inputs'!Z17)</f>
        <v>702326.0</v>
      </c>
      <c r="Z5" s="14">
        <f>SUM('Plant Inputs'!AA5,'Plant Inputs'!AA11,'Plant Inputs'!AA17)</f>
        <v>188840.0</v>
      </c>
      <c r="AA5" s="14">
        <f>SUM('Plant Inputs'!AB5,'Plant Inputs'!AB11,'Plant Inputs'!AB17)</f>
        <v>1006841.0</v>
      </c>
      <c r="AB5" s="14">
        <f>SUM('Plant Inputs'!AC5,'Plant Inputs'!AC11,'Plant Inputs'!AC17)</f>
        <v>43812.0</v>
      </c>
      <c r="AC5" s="14">
        <f>SUM('Plant Inputs'!AD5,'Plant Inputs'!AD11,'Plant Inputs'!AD17)</f>
        <v>6.0</v>
      </c>
      <c r="AD5" s="14">
        <f>SUM('Plant Inputs'!AE5,'Plant Inputs'!AE11,'Plant Inputs'!AE17)</f>
        <v>211000.0</v>
      </c>
      <c r="AE5" s="14">
        <f>SUM('Plant Inputs'!AF5,'Plant Inputs'!AF11,'Plant Inputs'!AF17)</f>
        <v>2.0</v>
      </c>
      <c r="AF5" s="14">
        <f>SUM('Plant Inputs'!AG5,'Plant Inputs'!AG11,'Plant Inputs'!AG17)</f>
        <v>0.0</v>
      </c>
      <c r="AG5" s="14">
        <f>SUM('Plant Inputs'!AH5,'Plant Inputs'!AH11,'Plant Inputs'!AH17)</f>
        <v>18.0</v>
      </c>
      <c r="AH5" s="14">
        <f>SUM('Plant Inputs'!AI5,'Plant Inputs'!AI11,'Plant Inputs'!AI17)</f>
        <v>0.0</v>
      </c>
      <c r="AI5" s="14">
        <f>SUM('Plant Inputs'!AJ5,'Plant Inputs'!AJ11,'Plant Inputs'!AJ17)</f>
        <v>1.0</v>
      </c>
      <c r="AJ5" s="14">
        <f>SUM('Plant Inputs'!AK5,'Plant Inputs'!AK11,'Plant Inputs'!AK17)</f>
        <v>0.0</v>
      </c>
      <c r="AK5" s="14">
        <f>SUM('Plant Inputs'!AL5,'Plant Inputs'!AL11,'Plant Inputs'!AL17)</f>
        <v>26.0</v>
      </c>
      <c r="AL5" s="14">
        <f>SUM('Plant Inputs'!AM5,'Plant Inputs'!AM11,'Plant Inputs'!AM17)</f>
        <v>5.0</v>
      </c>
      <c r="AM5" s="14">
        <f>SUM('Plant Inputs'!AN5,'Plant Inputs'!AN11,'Plant Inputs'!AN17)</f>
        <v>3.0</v>
      </c>
      <c r="AN5" s="14">
        <f>SUM('Plant Inputs'!AO5,'Plant Inputs'!AO11,'Plant Inputs'!AO17)</f>
        <v>3.0</v>
      </c>
      <c r="AO5" s="14">
        <f>SUM('Plant Inputs'!AP5,'Plant Inputs'!AP11,'Plant Inputs'!AP17)</f>
        <v>0.0</v>
      </c>
      <c r="AP5" s="14">
        <f>SUM('Plant Inputs'!AQ5,'Plant Inputs'!AQ11,'Plant Inputs'!AQ17)</f>
        <v>683.0</v>
      </c>
      <c r="AQ5" s="14">
        <f>SUM('Plant Inputs'!AR5,'Plant Inputs'!AR11,'Plant Inputs'!AR17)</f>
        <v>43.0</v>
      </c>
      <c r="AR5" s="14">
        <f>MIN('Plant Inputs'!AS5,'Plant Inputs'!AS11,'Plant Inputs'!AS17)</f>
        <v>185</v>
      </c>
      <c r="AS5" s="14">
        <f>SUM('Plant Inputs'!AT5,'Plant Inputs'!AT11,'Plant Inputs'!AT17)</f>
        <v>301046.0</v>
      </c>
      <c r="AT5" s="14">
        <f>SUM('Plant Inputs'!AU5,'Plant Inputs'!AU11,'Plant Inputs'!AU17)</f>
        <v>344116.0</v>
      </c>
      <c r="AU5" s="14">
        <f>SUM('Plant Inputs'!AV5,'Plant Inputs'!AV11,'Plant Inputs'!AV17)</f>
        <v>1125908.0</v>
      </c>
      <c r="AV5" s="14">
        <f>SUM('Plant Inputs'!AW5,'Plant Inputs'!AW11,'Plant Inputs'!AW17)</f>
        <v>1293876.2000000002</v>
      </c>
      <c r="AW5" s="14">
        <f>SUM('Plant Inputs'!AX5,'Plant Inputs'!AX11,'Plant Inputs'!AX17)</f>
        <v>55719.600000000006</v>
      </c>
      <c r="AX5" s="14">
        <f>SUM('Plant Inputs'!AY5,'Plant Inputs'!AY11,'Plant Inputs'!AY17)</f>
        <v>46164.100000000006</v>
      </c>
      <c r="AY5" s="14">
        <f>SUM('Plant Inputs'!AZ5,'Plant Inputs'!AZ11,'Plant Inputs'!AZ17)</f>
        <v>572.0</v>
      </c>
      <c r="AZ5" s="14">
        <f>SUM('Plant Inputs'!BA5,'Plant Inputs'!BA11,'Plant Inputs'!BA17)</f>
        <v>506.0</v>
      </c>
      <c r="BA5" s="14">
        <f>SUM('Plant Inputs'!BB5,'Plant Inputs'!BB11,'Plant Inputs'!BB17)</f>
        <v>330685.0</v>
      </c>
      <c r="BB5" s="14">
        <f>SUM('Plant Inputs'!BC5,'Plant Inputs'!BC11,'Plant Inputs'!BC17)</f>
        <v>318817.0</v>
      </c>
      <c r="BC5" s="14">
        <f>SUM('Plant Inputs'!BD5,'Plant Inputs'!BD11,'Plant Inputs'!BD17)</f>
        <v>2613.0</v>
      </c>
      <c r="BD5" s="14">
        <f>SUM('Plant Inputs'!BE5,'Plant Inputs'!BE11,'Plant Inputs'!BE17)</f>
        <v>2632.0</v>
      </c>
      <c r="BE5" s="14">
        <f>SUM('Plant Inputs'!BF5,'Plant Inputs'!BF11,'Plant Inputs'!BF17)</f>
        <v>2716.0</v>
      </c>
      <c r="BF5" s="14">
        <f>SUM('Plant Inputs'!BG5,'Plant Inputs'!BG11,'Plant Inputs'!BG17)</f>
        <v>554781.7</v>
      </c>
      <c r="BG5" s="14">
        <f>SUM('Plant Inputs'!BH5,'Plant Inputs'!BH11,'Plant Inputs'!BH17)</f>
        <v>222154.6</v>
      </c>
      <c r="BH5" s="14">
        <f>SUM('Plant Inputs'!BI5,'Plant Inputs'!BI11,'Plant Inputs'!BI17)</f>
        <v>0.0</v>
      </c>
      <c r="BI5" s="14">
        <f>SUM('Plant Inputs'!BJ5,'Plant Inputs'!BJ11,'Plant Inputs'!BJ17)</f>
        <v>2.0</v>
      </c>
      <c r="BJ5" s="14">
        <f>SUM('Plant Inputs'!BK5,'Plant Inputs'!BK11,'Plant Inputs'!BK17)</f>
        <v>1.0</v>
      </c>
      <c r="BK5" s="14">
        <f>SUM('Plant Inputs'!BL5,'Plant Inputs'!BL11,'Plant Inputs'!BL17)</f>
        <v>1.0</v>
      </c>
      <c r="BL5" s="14">
        <f>SUM('Plant Inputs'!BM5,'Plant Inputs'!BM11,'Plant Inputs'!BM17)</f>
        <v>1.0</v>
      </c>
      <c r="BM5" s="14">
        <f>SUM('Plant Inputs'!BN5,'Plant Inputs'!BN11,'Plant Inputs'!BN17)</f>
        <v>0.0</v>
      </c>
      <c r="BN5" s="14">
        <f>SUM('Plant Inputs'!BO5,'Plant Inputs'!BO11,'Plant Inputs'!BO17)</f>
        <v>0.0</v>
      </c>
      <c r="BO5" s="14">
        <f>SUM('Plant Inputs'!BP5,'Plant Inputs'!BP11,'Plant Inputs'!BP17)</f>
        <v>0.0</v>
      </c>
      <c r="BP5" s="14">
        <f>SUM('Plant Inputs'!BQ5,'Plant Inputs'!BQ11,'Plant Inputs'!BQ17)</f>
        <v>0.0</v>
      </c>
      <c r="BQ5" s="14">
        <f>SUM('Plant Inputs'!BR5,'Plant Inputs'!BR11,'Plant Inputs'!BR17)</f>
        <v>0.0</v>
      </c>
      <c r="BR5" s="14">
        <f>SUM('Plant Inputs'!BS5,'Plant Inputs'!BS11,'Plant Inputs'!BS17)</f>
        <v>0.0</v>
      </c>
      <c r="BS5" s="14">
        <f>MIN('Plant Inputs'!BT5,'Plant Inputs'!BT11,'Plant Inputs'!BT17)</f>
        <v>12</v>
      </c>
      <c r="BT5" s="14">
        <f>SUM('Plant Inputs'!BU5,'Plant Inputs'!BU11,'Plant Inputs'!BU17)</f>
        <v>350845.0</v>
      </c>
      <c r="BU5" s="14">
        <f>SUM('Plant Inputs'!BV5,'Plant Inputs'!BV11,'Plant Inputs'!BV17)</f>
        <v>344395.0</v>
      </c>
      <c r="BV5" s="14">
        <f>SUM('Plant Inputs'!BW5,'Plant Inputs'!BW11,'Plant Inputs'!BW17)</f>
        <v>158876053.0</v>
      </c>
      <c r="BW5" s="14">
        <f>SUM('Plant Inputs'!BX5,'Plant Inputs'!BX11,'Plant Inputs'!BX17)</f>
        <v>384488.0</v>
      </c>
      <c r="BX5" s="14">
        <f>SUM('Plant Inputs'!BY5,'Plant Inputs'!BY11,'Plant Inputs'!BY17)</f>
        <v>15568.0</v>
      </c>
      <c r="BY5" s="16">
        <v>50704.9</v>
      </c>
      <c r="BZ5" s="16">
        <v>14276.1</v>
      </c>
      <c r="CA5" s="16">
        <v>10843200</v>
      </c>
      <c r="CB5" s="16">
        <v>4689727.1</v>
      </c>
      <c r="CC5" s="16">
        <v>927727.1</v>
      </c>
      <c r="CD5" s="16">
        <v>438182.1</v>
      </c>
      <c r="CE5" s="16">
        <v>39501</v>
      </c>
      <c r="CF5" s="16">
        <v>484600.2</v>
      </c>
      <c r="CG5" s="16">
        <v>1326721.5</v>
      </c>
      <c r="CH5" s="16">
        <v>67821.89999999999</v>
      </c>
      <c r="CI5" s="16">
        <v>1128801.3</v>
      </c>
      <c r="CJ5" s="16">
        <v>1918893.1</v>
      </c>
      <c r="CK5" s="16">
        <v>1294064.9</v>
      </c>
      <c r="CL5" s="16">
        <v>1295301.1</v>
      </c>
      <c r="CM5" s="16">
        <v>1117881.8</v>
      </c>
      <c r="CN5" s="16">
        <v>812.1</v>
      </c>
      <c r="CO5" s="16">
        <v>123248</v>
      </c>
      <c r="CP5" s="16">
        <v>123248</v>
      </c>
      <c r="CQ5" s="16">
        <v>382</v>
      </c>
      <c r="CR5" s="16">
        <v>17264</v>
      </c>
      <c r="CS5" s="16">
        <v>17190</v>
      </c>
      <c r="CT5" s="16">
        <v>0</v>
      </c>
      <c r="CU5" s="16">
        <v>403490.1</v>
      </c>
      <c r="CV5" s="16">
        <v>409969.6</v>
      </c>
      <c r="CW5" s="16">
        <v>76015</v>
      </c>
      <c r="CX5" s="16">
        <v>3729497.8</v>
      </c>
      <c r="CY5" s="16">
        <v>797457</v>
      </c>
      <c r="CZ5" s="16">
        <v>402268.2</v>
      </c>
      <c r="DA5" s="16">
        <v>277847.9</v>
      </c>
      <c r="DB5" s="16">
        <v>324638.2</v>
      </c>
      <c r="DC5" s="16">
        <v>229566.1</v>
      </c>
      <c r="DD5" s="16">
        <v>3941.5</v>
      </c>
      <c r="DE5" s="16">
        <v>4320.5</v>
      </c>
      <c r="DF5" s="16">
        <v>2519902.8</v>
      </c>
      <c r="DG5" s="16">
        <v>1969944</v>
      </c>
      <c r="DH5" s="16">
        <v>1000000</v>
      </c>
      <c r="DI5" s="16">
        <v>500855.7</v>
      </c>
      <c r="DJ5" s="16">
        <v>75177.60000000001</v>
      </c>
      <c r="DK5" s="16">
        <v>422000</v>
      </c>
      <c r="DL5" s="16">
        <v>25527.6</v>
      </c>
      <c r="DM5" s="16">
        <v>5</v>
      </c>
      <c r="DN5" s="16">
        <v>1</v>
      </c>
      <c r="DO5" s="16">
        <v>0</v>
      </c>
      <c r="DP5" s="16">
        <v>0</v>
      </c>
      <c r="DQ5" s="16">
        <v>6</v>
      </c>
      <c r="DR5" s="16">
        <v>17</v>
      </c>
      <c r="DS5" s="16">
        <v>5</v>
      </c>
      <c r="DT5" s="16">
        <v>2</v>
      </c>
      <c r="DU5" s="16">
        <v>1</v>
      </c>
      <c r="DV5" s="16">
        <v>60</v>
      </c>
      <c r="DW5" s="16">
        <v>21</v>
      </c>
      <c r="DX5" s="16">
        <v>5163.3</v>
      </c>
      <c r="DY5" s="16">
        <v>3608.4</v>
      </c>
      <c r="DZ5" s="16">
        <v>951.1</v>
      </c>
      <c r="EA5" s="16">
        <v>446.1</v>
      </c>
      <c r="EB5" s="16">
        <v>650.5</v>
      </c>
      <c r="EC5" s="16">
        <v>72</v>
      </c>
      <c r="ED5" s="16">
        <v>68</v>
      </c>
      <c r="EE5" s="16">
        <v>2</v>
      </c>
      <c r="EF5" s="16">
        <v>0</v>
      </c>
      <c r="EG5" s="16">
        <v>2</v>
      </c>
      <c r="EH5" s="16">
        <v>0</v>
      </c>
      <c r="EI5" s="16">
        <v>0</v>
      </c>
      <c r="EJ5" s="16">
        <v>1</v>
      </c>
      <c r="EK5" s="16">
        <v>0</v>
      </c>
      <c r="EL5" s="16">
        <v>0</v>
      </c>
      <c r="EM5" s="16">
        <v>0</v>
      </c>
      <c r="EN5" s="16">
        <v>0</v>
      </c>
      <c r="EO5" s="16">
        <v>0</v>
      </c>
      <c r="EP5" s="16">
        <v>0</v>
      </c>
      <c r="EQ5" s="16">
        <v>0</v>
      </c>
      <c r="ER5" s="16">
        <v>1</v>
      </c>
      <c r="ES5" s="16">
        <v>0</v>
      </c>
      <c r="ET5" s="16">
        <v>1</v>
      </c>
      <c r="EU5" s="16">
        <v>3</v>
      </c>
      <c r="EV5" s="16">
        <v>0</v>
      </c>
      <c r="EW5" s="16">
        <v>0</v>
      </c>
      <c r="EX5" s="16">
        <v>0</v>
      </c>
      <c r="EY5" s="16">
        <v>50</v>
      </c>
      <c r="EZ5" s="16">
        <v>43</v>
      </c>
      <c r="FA5" s="16">
        <v>3</v>
      </c>
      <c r="FB5" s="16">
        <v>85</v>
      </c>
      <c r="FC5" s="16">
        <v>28</v>
      </c>
      <c r="FD5" s="16">
        <v>23</v>
      </c>
      <c r="FE5" s="16">
        <v>26</v>
      </c>
      <c r="FF5" s="16">
        <v>0</v>
      </c>
      <c r="FG5" s="16">
        <v>1</v>
      </c>
      <c r="FH5" s="16">
        <v>0</v>
      </c>
      <c r="FI5" s="16">
        <v>488893</v>
      </c>
      <c r="FJ5" s="16">
        <v>485890</v>
      </c>
      <c r="FK5" s="16">
        <v>400</v>
      </c>
      <c r="FL5" s="16">
        <v>379</v>
      </c>
      <c r="FM5" s="16">
        <v>0</v>
      </c>
      <c r="FN5" s="16">
        <v>0</v>
      </c>
      <c r="FO5" s="16">
        <v>0</v>
      </c>
      <c r="FP5" s="16">
        <v>4</v>
      </c>
      <c r="FQ5" s="16">
        <v>11.6</v>
      </c>
      <c r="FR5" s="16">
        <v>3</v>
      </c>
      <c r="FS5" s="16">
        <v>0</v>
      </c>
      <c r="FT5" s="16">
        <v>0</v>
      </c>
      <c r="FU5" s="16">
        <v>0</v>
      </c>
    </row>
    <row r="6" spans="1:177">
      <c r="A6" t="s">
        <v>15</v>
      </c>
      <c r="B6" t="s">
        <v>170</v>
      </c>
      <c r="C6" t="s">
        <v>174</v>
      </c>
      <c r="D6">
        <v>30</v>
      </c>
      <c r="E6" s="14">
        <f>SUM('Plant Inputs'!F6,'Plant Inputs'!F12,'Plant Inputs'!F18)</f>
        <v>2160.0</v>
      </c>
      <c r="F6" s="14">
        <f>SUM('Plant Inputs'!G6,'Plant Inputs'!G12,'Plant Inputs'!G18)</f>
        <v>2157.0</v>
      </c>
      <c r="G6" s="14">
        <f>SUM('Plant Inputs'!H6,'Plant Inputs'!H12,'Plant Inputs'!H18)</f>
        <v>2023.7</v>
      </c>
      <c r="H6" s="14">
        <f>SUM('Plant Inputs'!I6,'Plant Inputs'!I12,'Plant Inputs'!I18)</f>
        <v>85.7</v>
      </c>
      <c r="I6" s="14">
        <f>SUM('Plant Inputs'!J6,'Plant Inputs'!J12,'Plant Inputs'!J18)</f>
        <v>396405.0</v>
      </c>
      <c r="J6" s="14">
        <f>SUM('Plant Inputs'!K6,'Plant Inputs'!K12,'Plant Inputs'!K18)</f>
        <v>397008.0</v>
      </c>
      <c r="K6" s="14">
        <f>SUM('Plant Inputs'!L6,'Plant Inputs'!L12,'Plant Inputs'!L18)</f>
        <v>350330.0</v>
      </c>
      <c r="L6" s="14">
        <f>SUM('Plant Inputs'!M6,'Plant Inputs'!M12,'Plant Inputs'!M18)</f>
        <v>315205.0</v>
      </c>
      <c r="M6" s="14">
        <f>SUM('Plant Inputs'!N6,'Plant Inputs'!N12,'Plant Inputs'!N18)</f>
        <v>302144.0</v>
      </c>
      <c r="N6" s="14">
        <f>SUM('Plant Inputs'!O6,'Plant Inputs'!O12,'Plant Inputs'!O18)</f>
        <v>324030.0</v>
      </c>
      <c r="O6" s="14">
        <f>SUM('Plant Inputs'!P6,'Plant Inputs'!P12,'Plant Inputs'!P18)</f>
        <v>68775.0</v>
      </c>
      <c r="P6" s="14">
        <f>SUM('Plant Inputs'!Q6,'Plant Inputs'!Q12,'Plant Inputs'!Q18)</f>
        <v>59968.0</v>
      </c>
      <c r="Q6" s="14">
        <f>SUM('Plant Inputs'!R6,'Plant Inputs'!R12,'Plant Inputs'!R18)</f>
        <v>16320.0</v>
      </c>
      <c r="R6" s="14">
        <f>SUM('Plant Inputs'!S6,'Plant Inputs'!S12,'Plant Inputs'!S18)</f>
        <v>10.0</v>
      </c>
      <c r="S6" s="14">
        <f>SUM('Plant Inputs'!T6,'Plant Inputs'!T12,'Plant Inputs'!T18)</f>
        <v>70.4</v>
      </c>
      <c r="T6" s="14">
        <f>SUM('Plant Inputs'!U6,'Plant Inputs'!U12,'Plant Inputs'!U18)</f>
        <v>134.0</v>
      </c>
      <c r="U6" s="14">
        <f>SUM('Plant Inputs'!V6,'Plant Inputs'!V12,'Plant Inputs'!V18)</f>
        <v>124.0</v>
      </c>
      <c r="V6" s="14">
        <f>SUM('Plant Inputs'!W6,'Plant Inputs'!W12,'Plant Inputs'!W18)</f>
        <v>936612.8</v>
      </c>
      <c r="W6" s="14">
        <f>SUM('Plant Inputs'!X6,'Plant Inputs'!X12,'Plant Inputs'!X18)</f>
        <v>240228.4</v>
      </c>
      <c r="X6" s="14">
        <f>SUM('Plant Inputs'!Y6,'Plant Inputs'!Y12,'Plant Inputs'!Y18)</f>
        <v>3155.0</v>
      </c>
      <c r="Y6" s="14">
        <f>SUM('Plant Inputs'!Z6,'Plant Inputs'!Z12,'Plant Inputs'!Z18)</f>
        <v>622781.0</v>
      </c>
      <c r="Z6" s="14">
        <f>SUM('Plant Inputs'!AA6,'Plant Inputs'!AA12,'Plant Inputs'!AA18)</f>
        <v>188173.0</v>
      </c>
      <c r="AA6" s="14">
        <f>SUM('Plant Inputs'!AB6,'Plant Inputs'!AB12,'Plant Inputs'!AB18)</f>
        <v>989137.0</v>
      </c>
      <c r="AB6" s="14">
        <f>SUM('Plant Inputs'!AC6,'Plant Inputs'!AC12,'Plant Inputs'!AC18)</f>
        <v>49614.0</v>
      </c>
      <c r="AC6" s="14">
        <f>SUM('Plant Inputs'!AD6,'Plant Inputs'!AD12,'Plant Inputs'!AD18)</f>
        <v>5.0</v>
      </c>
      <c r="AD6" s="14">
        <f>SUM('Plant Inputs'!AE6,'Plant Inputs'!AE12,'Plant Inputs'!AE18)</f>
        <v>225000.0</v>
      </c>
      <c r="AE6" s="14">
        <f>SUM('Plant Inputs'!AF6,'Plant Inputs'!AF12,'Plant Inputs'!AF18)</f>
        <v>3.0</v>
      </c>
      <c r="AF6" s="14">
        <f>SUM('Plant Inputs'!AG6,'Plant Inputs'!AG12,'Plant Inputs'!AG18)</f>
        <v>0.0</v>
      </c>
      <c r="AG6" s="14">
        <f>SUM('Plant Inputs'!AH6,'Plant Inputs'!AH12,'Plant Inputs'!AH18)</f>
        <v>22.0</v>
      </c>
      <c r="AH6" s="14">
        <f>SUM('Plant Inputs'!AI6,'Plant Inputs'!AI12,'Plant Inputs'!AI18)</f>
        <v>0.0</v>
      </c>
      <c r="AI6" s="14">
        <f>SUM('Plant Inputs'!AJ6,'Plant Inputs'!AJ12,'Plant Inputs'!AJ18)</f>
        <v>1.0</v>
      </c>
      <c r="AJ6" s="14">
        <f>SUM('Plant Inputs'!AK6,'Plant Inputs'!AK12,'Plant Inputs'!AK18)</f>
        <v>0.0</v>
      </c>
      <c r="AK6" s="14">
        <f>SUM('Plant Inputs'!AL6,'Plant Inputs'!AL12,'Plant Inputs'!AL18)</f>
        <v>23.0</v>
      </c>
      <c r="AL6" s="14">
        <f>SUM('Plant Inputs'!AM6,'Plant Inputs'!AM12,'Plant Inputs'!AM18)</f>
        <v>4.0</v>
      </c>
      <c r="AM6" s="14">
        <f>SUM('Plant Inputs'!AN6,'Plant Inputs'!AN12,'Plant Inputs'!AN18)</f>
        <v>4.0</v>
      </c>
      <c r="AN6" s="14">
        <f>SUM('Plant Inputs'!AO6,'Plant Inputs'!AO12,'Plant Inputs'!AO18)</f>
        <v>3.0</v>
      </c>
      <c r="AO6" s="14">
        <f>SUM('Plant Inputs'!AP6,'Plant Inputs'!AP12,'Plant Inputs'!AP18)</f>
        <v>1.0</v>
      </c>
      <c r="AP6" s="14">
        <f>SUM('Plant Inputs'!AQ6,'Plant Inputs'!AQ12,'Plant Inputs'!AQ18)</f>
        <v>523.0</v>
      </c>
      <c r="AQ6" s="14">
        <f>SUM('Plant Inputs'!AR6,'Plant Inputs'!AR12,'Plant Inputs'!AR18)</f>
        <v>45.0</v>
      </c>
      <c r="AR6" s="14">
        <f>MIN('Plant Inputs'!AS6,'Plant Inputs'!AS12,'Plant Inputs'!AS18)</f>
        <v>155</v>
      </c>
      <c r="AS6" s="14">
        <f>SUM('Plant Inputs'!AT6,'Plant Inputs'!AT12,'Plant Inputs'!AT18)</f>
        <v>298382.0</v>
      </c>
      <c r="AT6" s="14">
        <f>SUM('Plant Inputs'!AU6,'Plant Inputs'!AU12,'Plant Inputs'!AU18)</f>
        <v>351394.0</v>
      </c>
      <c r="AU6" s="14">
        <f>SUM('Plant Inputs'!AV6,'Plant Inputs'!AV12,'Plant Inputs'!AV18)</f>
        <v>1122941.6</v>
      </c>
      <c r="AV6" s="14">
        <f>SUM('Plant Inputs'!AW6,'Plant Inputs'!AW12,'Plant Inputs'!AW18)</f>
        <v>1321241.4</v>
      </c>
      <c r="AW6" s="14">
        <f>SUM('Plant Inputs'!AX6,'Plant Inputs'!AX12,'Plant Inputs'!AX18)</f>
        <v>54701.1</v>
      </c>
      <c r="AX6" s="14">
        <f>SUM('Plant Inputs'!AY6,'Plant Inputs'!AY12,'Plant Inputs'!AY18)</f>
        <v>46544.7</v>
      </c>
      <c r="AY6" s="14">
        <f>SUM('Plant Inputs'!AZ6,'Plant Inputs'!AZ12,'Plant Inputs'!AZ18)</f>
        <v>629.0</v>
      </c>
      <c r="AZ6" s="14">
        <f>SUM('Plant Inputs'!BA6,'Plant Inputs'!BA12,'Plant Inputs'!BA18)</f>
        <v>569.0</v>
      </c>
      <c r="BA6" s="14">
        <f>SUM('Plant Inputs'!BB6,'Plant Inputs'!BB12,'Plant Inputs'!BB18)</f>
        <v>323536.0</v>
      </c>
      <c r="BB6" s="14">
        <f>SUM('Plant Inputs'!BC6,'Plant Inputs'!BC12,'Plant Inputs'!BC18)</f>
        <v>313013.0</v>
      </c>
      <c r="BC6" s="14">
        <f>SUM('Plant Inputs'!BD6,'Plant Inputs'!BD12,'Plant Inputs'!BD18)</f>
        <v>3081.0</v>
      </c>
      <c r="BD6" s="14">
        <f>SUM('Plant Inputs'!BE6,'Plant Inputs'!BE12,'Plant Inputs'!BE18)</f>
        <v>2282.0</v>
      </c>
      <c r="BE6" s="14">
        <f>SUM('Plant Inputs'!BF6,'Plant Inputs'!BF12,'Plant Inputs'!BF18)</f>
        <v>2372.0</v>
      </c>
      <c r="BF6" s="14">
        <f>SUM('Plant Inputs'!BG6,'Plant Inputs'!BG12,'Plant Inputs'!BG18)</f>
        <v>536546.4</v>
      </c>
      <c r="BG6" s="14">
        <f>SUM('Plant Inputs'!BH6,'Plant Inputs'!BH12,'Plant Inputs'!BH18)</f>
        <v>205625.3</v>
      </c>
      <c r="BH6" s="14">
        <f>SUM('Plant Inputs'!BI6,'Plant Inputs'!BI12,'Plant Inputs'!BI18)</f>
        <v>1.0</v>
      </c>
      <c r="BI6" s="14">
        <f>SUM('Plant Inputs'!BJ6,'Plant Inputs'!BJ12,'Plant Inputs'!BJ18)</f>
        <v>0.0</v>
      </c>
      <c r="BJ6" s="14">
        <f>SUM('Plant Inputs'!BK6,'Plant Inputs'!BK12,'Plant Inputs'!BK18)</f>
        <v>0.0</v>
      </c>
      <c r="BK6" s="14">
        <f>SUM('Plant Inputs'!BL6,'Plant Inputs'!BL12,'Plant Inputs'!BL18)</f>
        <v>2.0</v>
      </c>
      <c r="BL6" s="14">
        <f>SUM('Plant Inputs'!BM6,'Plant Inputs'!BM12,'Plant Inputs'!BM18)</f>
        <v>2.0</v>
      </c>
      <c r="BM6" s="14">
        <f>SUM('Plant Inputs'!BN6,'Plant Inputs'!BN12,'Plant Inputs'!BN18)</f>
        <v>0.0</v>
      </c>
      <c r="BN6" s="14">
        <f>SUM('Plant Inputs'!BO6,'Plant Inputs'!BO12,'Plant Inputs'!BO18)</f>
        <v>0.0</v>
      </c>
      <c r="BO6" s="14">
        <f>SUM('Plant Inputs'!BP6,'Plant Inputs'!BP12,'Plant Inputs'!BP18)</f>
        <v>0.0</v>
      </c>
      <c r="BP6" s="14">
        <f>SUM('Plant Inputs'!BQ6,'Plant Inputs'!BQ12,'Plant Inputs'!BQ18)</f>
        <v>0.0</v>
      </c>
      <c r="BQ6" s="14">
        <f>SUM('Plant Inputs'!BR6,'Plant Inputs'!BR12,'Plant Inputs'!BR18)</f>
        <v>0.0</v>
      </c>
      <c r="BR6" s="14">
        <f>SUM('Plant Inputs'!BS6,'Plant Inputs'!BS12,'Plant Inputs'!BS18)</f>
        <v>0.0</v>
      </c>
      <c r="BS6" s="14">
        <f>MIN('Plant Inputs'!BT6,'Plant Inputs'!BT12,'Plant Inputs'!BT18)</f>
        <v>18</v>
      </c>
      <c r="BT6" s="14">
        <f>SUM('Plant Inputs'!BU6,'Plant Inputs'!BU12,'Plant Inputs'!BU18)</f>
        <v>351296.0</v>
      </c>
      <c r="BU6" s="14">
        <f>SUM('Plant Inputs'!BV6,'Plant Inputs'!BV12,'Plant Inputs'!BV18)</f>
        <v>342407.0</v>
      </c>
      <c r="BV6" s="14">
        <f>SUM('Plant Inputs'!BW6,'Plant Inputs'!BW12,'Plant Inputs'!BW18)</f>
        <v>141852847.0</v>
      </c>
      <c r="BW6" s="14">
        <f>SUM('Plant Inputs'!BX6,'Plant Inputs'!BX12,'Plant Inputs'!BX18)</f>
        <v>396405.0</v>
      </c>
      <c r="BX6" s="14">
        <f>SUM('Plant Inputs'!BY6,'Plant Inputs'!BY12,'Plant Inputs'!BY18)</f>
        <v>15624.0</v>
      </c>
      <c r="BY6" s="16">
        <v>48811.1</v>
      </c>
      <c r="BZ6" s="16">
        <v>29278.7</v>
      </c>
      <c r="CA6" s="16">
        <v>10886400</v>
      </c>
      <c r="CB6" s="16">
        <v>4635169.6</v>
      </c>
      <c r="CC6" s="16">
        <v>911169.6</v>
      </c>
      <c r="CD6" s="16">
        <v>460112.3</v>
      </c>
      <c r="CE6" s="16">
        <v>39102</v>
      </c>
      <c r="CF6" s="16">
        <v>476219.3</v>
      </c>
      <c r="CG6" s="16">
        <v>1378110</v>
      </c>
      <c r="CH6" s="16">
        <v>133983.3</v>
      </c>
      <c r="CI6" s="16">
        <v>1126086</v>
      </c>
      <c r="CJ6" s="16">
        <v>1943165.8</v>
      </c>
      <c r="CK6" s="16">
        <v>1271185.4</v>
      </c>
      <c r="CL6" s="16">
        <v>1281353</v>
      </c>
      <c r="CM6" s="16">
        <v>1116529.3</v>
      </c>
      <c r="CN6" s="16">
        <v>735.6</v>
      </c>
      <c r="CO6" s="16">
        <v>117650.6</v>
      </c>
      <c r="CP6" s="16">
        <v>117650.6</v>
      </c>
      <c r="CQ6" s="16">
        <v>425</v>
      </c>
      <c r="CR6" s="16">
        <v>19112</v>
      </c>
      <c r="CS6" s="16">
        <v>19125</v>
      </c>
      <c r="CT6" s="16">
        <v>0</v>
      </c>
      <c r="CU6" s="16">
        <v>802788</v>
      </c>
      <c r="CV6" s="16">
        <v>808463.3</v>
      </c>
      <c r="CW6" s="16">
        <v>155641.9</v>
      </c>
      <c r="CX6" s="16">
        <v>3675892.6</v>
      </c>
      <c r="CY6" s="16">
        <v>1569788.9</v>
      </c>
      <c r="CZ6" s="16">
        <v>418805.1</v>
      </c>
      <c r="DA6" s="16">
        <v>306320.8</v>
      </c>
      <c r="DB6" s="16">
        <v>327500.7</v>
      </c>
      <c r="DC6" s="16">
        <v>240203.5</v>
      </c>
      <c r="DD6" s="16">
        <v>4261.9</v>
      </c>
      <c r="DE6" s="16">
        <v>4555.5</v>
      </c>
      <c r="DF6" s="16">
        <v>2534835.3</v>
      </c>
      <c r="DG6" s="16">
        <v>1925015.9</v>
      </c>
      <c r="DH6" s="16">
        <v>1000000</v>
      </c>
      <c r="DI6" s="16">
        <v>561019.6</v>
      </c>
      <c r="DJ6" s="16">
        <v>73628.5</v>
      </c>
      <c r="DK6" s="16">
        <v>464000</v>
      </c>
      <c r="DL6" s="16">
        <v>21951.6</v>
      </c>
      <c r="DM6" s="16">
        <v>5</v>
      </c>
      <c r="DN6" s="16">
        <v>1</v>
      </c>
      <c r="DO6" s="16">
        <v>0</v>
      </c>
      <c r="DP6" s="16">
        <v>0</v>
      </c>
      <c r="DQ6" s="16">
        <v>4</v>
      </c>
      <c r="DR6" s="16">
        <v>14</v>
      </c>
      <c r="DS6" s="16">
        <v>5</v>
      </c>
      <c r="DT6" s="16">
        <v>2</v>
      </c>
      <c r="DU6" s="16">
        <v>1</v>
      </c>
      <c r="DV6" s="16">
        <v>60</v>
      </c>
      <c r="DW6" s="16">
        <v>24</v>
      </c>
      <c r="DX6" s="16">
        <v>5112.3</v>
      </c>
      <c r="DY6" s="16">
        <v>3419.9</v>
      </c>
      <c r="DZ6" s="16">
        <v>1071.3</v>
      </c>
      <c r="EA6" s="16">
        <v>417.2</v>
      </c>
      <c r="EB6" s="16">
        <v>665.8</v>
      </c>
      <c r="EC6" s="16">
        <v>72</v>
      </c>
      <c r="ED6" s="16">
        <v>69</v>
      </c>
      <c r="EE6" s="16">
        <v>2</v>
      </c>
      <c r="EF6" s="16">
        <v>0</v>
      </c>
      <c r="EG6" s="16">
        <v>2</v>
      </c>
      <c r="EH6" s="16">
        <v>0</v>
      </c>
      <c r="EI6" s="16">
        <v>0</v>
      </c>
      <c r="EJ6" s="16">
        <v>0</v>
      </c>
      <c r="EK6" s="16">
        <v>0</v>
      </c>
      <c r="EL6" s="16">
        <v>0</v>
      </c>
      <c r="EM6" s="16">
        <v>0</v>
      </c>
      <c r="EN6" s="16">
        <v>0</v>
      </c>
      <c r="EO6" s="16">
        <v>0</v>
      </c>
      <c r="EP6" s="16">
        <v>0</v>
      </c>
      <c r="EQ6" s="16">
        <v>2</v>
      </c>
      <c r="ER6" s="16">
        <v>0</v>
      </c>
      <c r="ES6" s="16">
        <v>0</v>
      </c>
      <c r="ET6" s="16">
        <v>1</v>
      </c>
      <c r="EU6" s="16">
        <v>2</v>
      </c>
      <c r="EV6" s="16">
        <v>0</v>
      </c>
      <c r="EW6" s="16">
        <v>0</v>
      </c>
      <c r="EX6" s="16">
        <v>0</v>
      </c>
      <c r="EY6" s="16">
        <v>50</v>
      </c>
      <c r="EZ6" s="16">
        <v>43</v>
      </c>
      <c r="FA6" s="16">
        <v>1</v>
      </c>
      <c r="FB6" s="16">
        <v>30</v>
      </c>
      <c r="FC6" s="16">
        <v>28</v>
      </c>
      <c r="FD6" s="16">
        <v>23</v>
      </c>
      <c r="FE6" s="16">
        <v>26</v>
      </c>
      <c r="FF6" s="16">
        <v>0</v>
      </c>
      <c r="FG6" s="16">
        <v>1</v>
      </c>
      <c r="FH6" s="16">
        <v>0</v>
      </c>
      <c r="FI6" s="16">
        <v>488990</v>
      </c>
      <c r="FJ6" s="16">
        <v>485052</v>
      </c>
      <c r="FK6" s="16">
        <v>400</v>
      </c>
      <c r="FL6" s="16">
        <v>378</v>
      </c>
      <c r="FM6" s="16">
        <v>0</v>
      </c>
      <c r="FN6" s="16">
        <v>0</v>
      </c>
      <c r="FO6" s="16">
        <v>0</v>
      </c>
      <c r="FP6" s="16">
        <v>4</v>
      </c>
      <c r="FQ6" s="16">
        <v>11.7</v>
      </c>
      <c r="FR6" s="16">
        <v>4</v>
      </c>
      <c r="FS6" s="16">
        <v>1</v>
      </c>
      <c r="FT6" s="16">
        <v>1</v>
      </c>
      <c r="FU6" s="16">
        <v>1</v>
      </c>
    </row>
    <row r="7" spans="1:177">
      <c r="A7" t="s">
        <v>15</v>
      </c>
      <c r="B7" t="s">
        <v>170</v>
      </c>
      <c r="C7" t="s">
        <v>175</v>
      </c>
      <c r="D7">
        <v>31</v>
      </c>
      <c r="E7" s="14">
        <f>SUM('Plant Inputs'!F7,'Plant Inputs'!F13,'Plant Inputs'!F19)</f>
        <v>2232.0</v>
      </c>
      <c r="F7" s="14">
        <f>SUM('Plant Inputs'!G7,'Plant Inputs'!G13,'Plant Inputs'!G19)</f>
        <v>2216.0</v>
      </c>
      <c r="G7" s="14">
        <f>SUM('Plant Inputs'!H7,'Plant Inputs'!H13,'Plant Inputs'!H19)</f>
        <v>2054.8</v>
      </c>
      <c r="H7" s="14">
        <f>SUM('Plant Inputs'!I7,'Plant Inputs'!I13,'Plant Inputs'!I19)</f>
        <v>127.1</v>
      </c>
      <c r="I7" s="14">
        <f>SUM('Plant Inputs'!J7,'Plant Inputs'!J13,'Plant Inputs'!J19)</f>
        <v>407155.0</v>
      </c>
      <c r="J7" s="14">
        <f>SUM('Plant Inputs'!K7,'Plant Inputs'!K13,'Plant Inputs'!K19)</f>
        <v>410242.0</v>
      </c>
      <c r="K7" s="14">
        <f>SUM('Plant Inputs'!L7,'Plant Inputs'!L13,'Plant Inputs'!L19)</f>
        <v>353877.0</v>
      </c>
      <c r="L7" s="14">
        <f>SUM('Plant Inputs'!M7,'Plant Inputs'!M13,'Plant Inputs'!M19)</f>
        <v>335677.0</v>
      </c>
      <c r="M7" s="14">
        <f>SUM('Plant Inputs'!N7,'Plant Inputs'!N13,'Plant Inputs'!N19)</f>
        <v>322095.0</v>
      </c>
      <c r="N7" s="14">
        <f>SUM('Plant Inputs'!O7,'Plant Inputs'!O13,'Plant Inputs'!O19)</f>
        <v>357955.0</v>
      </c>
      <c r="O7" s="14">
        <f>SUM('Plant Inputs'!P7,'Plant Inputs'!P13,'Plant Inputs'!P19)</f>
        <v>77968.0</v>
      </c>
      <c r="P7" s="14">
        <f>SUM('Plant Inputs'!Q7,'Plant Inputs'!Q13,'Plant Inputs'!Q19)</f>
        <v>68247.0</v>
      </c>
      <c r="Q7" s="14">
        <f>SUM('Plant Inputs'!R7,'Plant Inputs'!R13,'Plant Inputs'!R19)</f>
        <v>23717.0</v>
      </c>
      <c r="R7" s="14">
        <f>SUM('Plant Inputs'!S7,'Plant Inputs'!S13,'Plant Inputs'!S19)</f>
        <v>14.0</v>
      </c>
      <c r="S7" s="14">
        <f>SUM('Plant Inputs'!T7,'Plant Inputs'!T13,'Plant Inputs'!T19)</f>
        <v>108.8</v>
      </c>
      <c r="T7" s="14">
        <f>SUM('Plant Inputs'!U7,'Plant Inputs'!U13,'Plant Inputs'!U19)</f>
        <v>142.0</v>
      </c>
      <c r="U7" s="14">
        <f>SUM('Plant Inputs'!V7,'Plant Inputs'!V13,'Plant Inputs'!V19)</f>
        <v>126.0</v>
      </c>
      <c r="V7" s="14">
        <f>SUM('Plant Inputs'!W7,'Plant Inputs'!W13,'Plant Inputs'!W19)</f>
        <v>953215.4000000001</v>
      </c>
      <c r="W7" s="14">
        <f>SUM('Plant Inputs'!X7,'Plant Inputs'!X13,'Plant Inputs'!X19)</f>
        <v>250507.4</v>
      </c>
      <c r="X7" s="14">
        <f>SUM('Plant Inputs'!Y7,'Plant Inputs'!Y13,'Plant Inputs'!Y19)</f>
        <v>3486.0000000000005</v>
      </c>
      <c r="Y7" s="14">
        <f>SUM('Plant Inputs'!Z7,'Plant Inputs'!Z13,'Plant Inputs'!Z19)</f>
        <v>738476.0</v>
      </c>
      <c r="Z7" s="14">
        <f>SUM('Plant Inputs'!AA7,'Plant Inputs'!AA13,'Plant Inputs'!AA19)</f>
        <v>190291.0</v>
      </c>
      <c r="AA7" s="14">
        <f>SUM('Plant Inputs'!AB7,'Plant Inputs'!AB13,'Plant Inputs'!AB19)</f>
        <v>1071006.0</v>
      </c>
      <c r="AB7" s="14">
        <f>SUM('Plant Inputs'!AC7,'Plant Inputs'!AC13,'Plant Inputs'!AC19)</f>
        <v>30407.0</v>
      </c>
      <c r="AC7" s="14">
        <f>SUM('Plant Inputs'!AD7,'Plant Inputs'!AD13,'Plant Inputs'!AD19)</f>
        <v>2.0</v>
      </c>
      <c r="AD7" s="14">
        <f>SUM('Plant Inputs'!AE7,'Plant Inputs'!AE13,'Plant Inputs'!AE19)</f>
        <v>232000.0</v>
      </c>
      <c r="AE7" s="14">
        <f>SUM('Plant Inputs'!AF7,'Plant Inputs'!AF13,'Plant Inputs'!AF19)</f>
        <v>2.0</v>
      </c>
      <c r="AF7" s="14">
        <f>SUM('Plant Inputs'!AG7,'Plant Inputs'!AG13,'Plant Inputs'!AG19)</f>
        <v>1.0</v>
      </c>
      <c r="AG7" s="14">
        <f>SUM('Plant Inputs'!AH7,'Plant Inputs'!AH13,'Plant Inputs'!AH19)</f>
        <v>19.0</v>
      </c>
      <c r="AH7" s="14">
        <f>SUM('Plant Inputs'!AI7,'Plant Inputs'!AI13,'Plant Inputs'!AI19)</f>
        <v>0.0</v>
      </c>
      <c r="AI7" s="14">
        <f>SUM('Plant Inputs'!AJ7,'Plant Inputs'!AJ13,'Plant Inputs'!AJ19)</f>
        <v>2.0</v>
      </c>
      <c r="AJ7" s="14">
        <f>SUM('Plant Inputs'!AK7,'Plant Inputs'!AK13,'Plant Inputs'!AK19)</f>
        <v>0.0</v>
      </c>
      <c r="AK7" s="14">
        <f>SUM('Plant Inputs'!AL7,'Plant Inputs'!AL13,'Plant Inputs'!AL19)</f>
        <v>24.0</v>
      </c>
      <c r="AL7" s="14">
        <f>SUM('Plant Inputs'!AM7,'Plant Inputs'!AM13,'Plant Inputs'!AM19)</f>
        <v>5.0</v>
      </c>
      <c r="AM7" s="14">
        <f>SUM('Plant Inputs'!AN7,'Plant Inputs'!AN13,'Plant Inputs'!AN19)</f>
        <v>4.0</v>
      </c>
      <c r="AN7" s="14">
        <f>SUM('Plant Inputs'!AO7,'Plant Inputs'!AO13,'Plant Inputs'!AO19)</f>
        <v>4.0</v>
      </c>
      <c r="AO7" s="14">
        <f>SUM('Plant Inputs'!AP7,'Plant Inputs'!AP13,'Plant Inputs'!AP19)</f>
        <v>2.0</v>
      </c>
      <c r="AP7" s="14">
        <f>SUM('Plant Inputs'!AQ7,'Plant Inputs'!AQ13,'Plant Inputs'!AQ19)</f>
        <v>473.0</v>
      </c>
      <c r="AQ7" s="14">
        <f>SUM('Plant Inputs'!AR7,'Plant Inputs'!AR13,'Plant Inputs'!AR19)</f>
        <v>36.0</v>
      </c>
      <c r="AR7" s="14">
        <f>MIN('Plant Inputs'!AS7,'Plant Inputs'!AS13,'Plant Inputs'!AS19)</f>
        <v>125</v>
      </c>
      <c r="AS7" s="14">
        <f>SUM('Plant Inputs'!AT7,'Plant Inputs'!AT13,'Plant Inputs'!AT19)</f>
        <v>318013.0</v>
      </c>
      <c r="AT7" s="14">
        <f>SUM('Plant Inputs'!AU7,'Plant Inputs'!AU13,'Plant Inputs'!AU19)</f>
        <v>352859.0</v>
      </c>
      <c r="AU7" s="14">
        <f>SUM('Plant Inputs'!AV7,'Plant Inputs'!AV13,'Plant Inputs'!AV19)</f>
        <v>1189685.5</v>
      </c>
      <c r="AV7" s="14">
        <f>SUM('Plant Inputs'!AW7,'Plant Inputs'!AW13,'Plant Inputs'!AW19)</f>
        <v>1326749.7999999998</v>
      </c>
      <c r="AW7" s="14">
        <f>SUM('Plant Inputs'!AX7,'Plant Inputs'!AX13,'Plant Inputs'!AX19)</f>
        <v>52069.5</v>
      </c>
      <c r="AX7" s="14">
        <f>SUM('Plant Inputs'!AY7,'Plant Inputs'!AY13,'Plant Inputs'!AY19)</f>
        <v>47000.2</v>
      </c>
      <c r="AY7" s="14">
        <f>SUM('Plant Inputs'!AZ7,'Plant Inputs'!AZ13,'Plant Inputs'!AZ19)</f>
        <v>610.0</v>
      </c>
      <c r="AZ7" s="14">
        <f>SUM('Plant Inputs'!BA7,'Plant Inputs'!BA13,'Plant Inputs'!BA19)</f>
        <v>551.0</v>
      </c>
      <c r="BA7" s="14">
        <f>SUM('Plant Inputs'!BB7,'Plant Inputs'!BB13,'Plant Inputs'!BB19)</f>
        <v>354831.0</v>
      </c>
      <c r="BB7" s="14">
        <f>SUM('Plant Inputs'!BC7,'Plant Inputs'!BC13,'Plant Inputs'!BC19)</f>
        <v>339517.0</v>
      </c>
      <c r="BC7" s="14">
        <f>SUM('Plant Inputs'!BD7,'Plant Inputs'!BD13,'Plant Inputs'!BD19)</f>
        <v>3896.0</v>
      </c>
      <c r="BD7" s="14">
        <f>SUM('Plant Inputs'!BE7,'Plant Inputs'!BE13,'Plant Inputs'!BE19)</f>
        <v>2142.0</v>
      </c>
      <c r="BE7" s="14">
        <f>SUM('Plant Inputs'!BF7,'Plant Inputs'!BF13,'Plant Inputs'!BF19)</f>
        <v>2290.0</v>
      </c>
      <c r="BF7" s="14">
        <f>SUM('Plant Inputs'!BG7,'Plant Inputs'!BG13,'Plant Inputs'!BG19)</f>
        <v>486309.6</v>
      </c>
      <c r="BG7" s="14">
        <f>SUM('Plant Inputs'!BH7,'Plant Inputs'!BH13,'Plant Inputs'!BH19)</f>
        <v>186003.4</v>
      </c>
      <c r="BH7" s="14">
        <f>SUM('Plant Inputs'!BI7,'Plant Inputs'!BI13,'Plant Inputs'!BI19)</f>
        <v>0.0</v>
      </c>
      <c r="BI7" s="14">
        <f>SUM('Plant Inputs'!BJ7,'Plant Inputs'!BJ13,'Plant Inputs'!BJ19)</f>
        <v>0.0</v>
      </c>
      <c r="BJ7" s="14">
        <f>SUM('Plant Inputs'!BK7,'Plant Inputs'!BK13,'Plant Inputs'!BK19)</f>
        <v>0.0</v>
      </c>
      <c r="BK7" s="14">
        <f>SUM('Plant Inputs'!BL7,'Plant Inputs'!BL13,'Plant Inputs'!BL19)</f>
        <v>1.0</v>
      </c>
      <c r="BL7" s="14">
        <f>SUM('Plant Inputs'!BM7,'Plant Inputs'!BM13,'Plant Inputs'!BM19)</f>
        <v>1.0</v>
      </c>
      <c r="BM7" s="14">
        <f>SUM('Plant Inputs'!BN7,'Plant Inputs'!BN13,'Plant Inputs'!BN19)</f>
        <v>0.0</v>
      </c>
      <c r="BN7" s="14">
        <f>SUM('Plant Inputs'!BO7,'Plant Inputs'!BO13,'Plant Inputs'!BO19)</f>
        <v>1.0</v>
      </c>
      <c r="BO7" s="14">
        <f>SUM('Plant Inputs'!BP7,'Plant Inputs'!BP13,'Plant Inputs'!BP19)</f>
        <v>0.0</v>
      </c>
      <c r="BP7" s="14">
        <f>SUM('Plant Inputs'!BQ7,'Plant Inputs'!BQ13,'Plant Inputs'!BQ19)</f>
        <v>0.0</v>
      </c>
      <c r="BQ7" s="14">
        <f>SUM('Plant Inputs'!BR7,'Plant Inputs'!BR13,'Plant Inputs'!BR19)</f>
        <v>0.0</v>
      </c>
      <c r="BR7" s="14">
        <f>SUM('Plant Inputs'!BS7,'Plant Inputs'!BS13,'Plant Inputs'!BS19)</f>
        <v>0.0</v>
      </c>
      <c r="BS7" s="14">
        <f>MIN('Plant Inputs'!BT7,'Plant Inputs'!BT13,'Plant Inputs'!BT19)</f>
        <v>12</v>
      </c>
      <c r="BT7" s="14">
        <f>SUM('Plant Inputs'!BU7,'Plant Inputs'!BU13,'Plant Inputs'!BU19)</f>
        <v>353760.0</v>
      </c>
      <c r="BU7" s="14">
        <f>SUM('Plant Inputs'!BV7,'Plant Inputs'!BV13,'Plant Inputs'!BV19)</f>
        <v>344411.0</v>
      </c>
      <c r="BV7" s="14">
        <f>SUM('Plant Inputs'!BW7,'Plant Inputs'!BW13,'Plant Inputs'!BW19)</f>
        <v>156457896.0</v>
      </c>
      <c r="BW7" s="14">
        <f>SUM('Plant Inputs'!BX7,'Plant Inputs'!BX13,'Plant Inputs'!BX19)</f>
        <v>407155.0</v>
      </c>
      <c r="BX7" s="14">
        <f>SUM('Plant Inputs'!BY7,'Plant Inputs'!BY13,'Plant Inputs'!BY19)</f>
        <v>23730.0</v>
      </c>
      <c r="BY7" s="16">
        <v>54606.3</v>
      </c>
      <c r="BZ7" s="16">
        <v>39213.2</v>
      </c>
      <c r="CA7" s="16">
        <v>10929600</v>
      </c>
      <c r="CB7" s="16">
        <v>4608966.7</v>
      </c>
      <c r="CC7" s="16">
        <v>922966.7</v>
      </c>
      <c r="CD7" s="16">
        <v>458165.4</v>
      </c>
      <c r="CE7" s="16">
        <v>38703</v>
      </c>
      <c r="CF7" s="16">
        <v>484735.8</v>
      </c>
      <c r="CG7" s="16">
        <v>1328589.5</v>
      </c>
      <c r="CH7" s="16">
        <v>178047.3</v>
      </c>
      <c r="CI7" s="16">
        <v>1185026</v>
      </c>
      <c r="CJ7" s="16">
        <v>1960349</v>
      </c>
      <c r="CK7" s="16">
        <v>1201672</v>
      </c>
      <c r="CL7" s="16">
        <v>1233450.9</v>
      </c>
      <c r="CM7" s="16">
        <v>1188396</v>
      </c>
      <c r="CN7" s="16">
        <v>694.8</v>
      </c>
      <c r="CO7" s="16">
        <v>119061.7</v>
      </c>
      <c r="CP7" s="16">
        <v>119061.7</v>
      </c>
      <c r="CQ7" s="16">
        <v>438</v>
      </c>
      <c r="CR7" s="16">
        <v>19650</v>
      </c>
      <c r="CS7" s="16">
        <v>19710</v>
      </c>
      <c r="CT7" s="16">
        <v>0</v>
      </c>
      <c r="CU7" s="16">
        <v>1065509.6</v>
      </c>
      <c r="CV7" s="16">
        <v>1075543.1</v>
      </c>
      <c r="CW7" s="16">
        <v>172153.2</v>
      </c>
      <c r="CX7" s="16">
        <v>3675766.9</v>
      </c>
      <c r="CY7" s="16">
        <v>2119721.6</v>
      </c>
      <c r="CZ7" s="16">
        <v>446718.8</v>
      </c>
      <c r="DA7" s="16">
        <v>323811.5</v>
      </c>
      <c r="DB7" s="16">
        <v>364424.2</v>
      </c>
      <c r="DC7" s="16">
        <v>266166.7</v>
      </c>
      <c r="DD7" s="16">
        <v>6450.1</v>
      </c>
      <c r="DE7" s="16">
        <v>7325.1</v>
      </c>
      <c r="DF7" s="16">
        <v>2637874.2</v>
      </c>
      <c r="DG7" s="16">
        <v>2001983.7</v>
      </c>
      <c r="DH7" s="16">
        <v>1000000</v>
      </c>
      <c r="DI7" s="16">
        <v>608680.1</v>
      </c>
      <c r="DJ7" s="16">
        <v>80895.5</v>
      </c>
      <c r="DK7" s="16">
        <v>506000</v>
      </c>
      <c r="DL7" s="16">
        <v>24159.6</v>
      </c>
      <c r="DM7" s="16">
        <v>5</v>
      </c>
      <c r="DN7" s="16">
        <v>1</v>
      </c>
      <c r="DO7" s="16">
        <v>0</v>
      </c>
      <c r="DP7" s="16">
        <v>0</v>
      </c>
      <c r="DQ7" s="16">
        <v>6</v>
      </c>
      <c r="DR7" s="16">
        <v>17</v>
      </c>
      <c r="DS7" s="16">
        <v>5</v>
      </c>
      <c r="DT7" s="16">
        <v>2</v>
      </c>
      <c r="DU7" s="16">
        <v>1</v>
      </c>
      <c r="DV7" s="16">
        <v>60</v>
      </c>
      <c r="DW7" s="16">
        <v>27</v>
      </c>
      <c r="DX7" s="16">
        <v>5177.6</v>
      </c>
      <c r="DY7" s="16">
        <v>3634.4</v>
      </c>
      <c r="DZ7" s="16">
        <v>1084</v>
      </c>
      <c r="EA7" s="16">
        <v>415.8</v>
      </c>
      <c r="EB7" s="16">
        <v>690.3</v>
      </c>
      <c r="EC7" s="16">
        <v>72</v>
      </c>
      <c r="ED7" s="16">
        <v>68</v>
      </c>
      <c r="EE7" s="16">
        <v>2</v>
      </c>
      <c r="EF7" s="16">
        <v>0</v>
      </c>
      <c r="EG7" s="16">
        <v>2</v>
      </c>
      <c r="EH7" s="16">
        <v>1</v>
      </c>
      <c r="EI7" s="16">
        <v>0</v>
      </c>
      <c r="EJ7" s="16">
        <v>1</v>
      </c>
      <c r="EK7" s="16">
        <v>0</v>
      </c>
      <c r="EL7" s="16">
        <v>0</v>
      </c>
      <c r="EM7" s="16">
        <v>0</v>
      </c>
      <c r="EN7" s="16">
        <v>0</v>
      </c>
      <c r="EO7" s="16">
        <v>0</v>
      </c>
      <c r="EP7" s="16">
        <v>0</v>
      </c>
      <c r="EQ7" s="16">
        <v>1</v>
      </c>
      <c r="ER7" s="16">
        <v>1</v>
      </c>
      <c r="ES7" s="16">
        <v>0</v>
      </c>
      <c r="ET7" s="16">
        <v>1</v>
      </c>
      <c r="EU7" s="16">
        <v>2</v>
      </c>
      <c r="EV7" s="16">
        <v>0</v>
      </c>
      <c r="EW7" s="16">
        <v>0</v>
      </c>
      <c r="EX7" s="16">
        <v>0</v>
      </c>
      <c r="EY7" s="16">
        <v>50</v>
      </c>
      <c r="EZ7" s="16">
        <v>43</v>
      </c>
      <c r="FA7" s="16">
        <v>3</v>
      </c>
      <c r="FB7" s="16">
        <v>82</v>
      </c>
      <c r="FC7" s="16">
        <v>28</v>
      </c>
      <c r="FD7" s="16">
        <v>23</v>
      </c>
      <c r="FE7" s="16">
        <v>26</v>
      </c>
      <c r="FF7" s="16">
        <v>0</v>
      </c>
      <c r="FG7" s="16">
        <v>1</v>
      </c>
      <c r="FH7" s="16">
        <v>0</v>
      </c>
      <c r="FI7" s="16">
        <v>517040</v>
      </c>
      <c r="FJ7" s="16">
        <v>512116</v>
      </c>
      <c r="FK7" s="16">
        <v>400</v>
      </c>
      <c r="FL7" s="16">
        <v>380</v>
      </c>
      <c r="FM7" s="16">
        <v>0</v>
      </c>
      <c r="FN7" s="16">
        <v>0</v>
      </c>
      <c r="FO7" s="16">
        <v>0</v>
      </c>
      <c r="FP7" s="16">
        <v>4</v>
      </c>
      <c r="FQ7" s="16">
        <v>12</v>
      </c>
      <c r="FR7" s="16">
        <v>3</v>
      </c>
      <c r="FS7" s="16">
        <v>1</v>
      </c>
      <c r="FT7" s="16">
        <v>1</v>
      </c>
      <c r="FU7" s="16">
        <v>1</v>
      </c>
    </row>
    <row r="8" spans="1:177">
      <c r="A8" t="s">
        <v>15</v>
      </c>
      <c r="B8" t="s">
        <v>170</v>
      </c>
      <c r="C8" t="s">
        <v>176</v>
      </c>
      <c r="D8">
        <v>31</v>
      </c>
      <c r="E8" s="14">
        <f>SUM('Plant Inputs'!F8,'Plant Inputs'!F14,'Plant Inputs'!F20)</f>
        <v>2232.0</v>
      </c>
      <c r="F8" s="14">
        <f>SUM('Plant Inputs'!G8,'Plant Inputs'!G14,'Plant Inputs'!G20)</f>
        <v>2162.0</v>
      </c>
      <c r="G8" s="14">
        <f>SUM('Plant Inputs'!H8,'Plant Inputs'!H14,'Plant Inputs'!H20)</f>
        <v>2026.0</v>
      </c>
      <c r="H8" s="14">
        <f>SUM('Plant Inputs'!I8,'Plant Inputs'!I14,'Plant Inputs'!I20)</f>
        <v>96.19999999999999</v>
      </c>
      <c r="I8" s="14">
        <f>SUM('Plant Inputs'!J8,'Plant Inputs'!J14,'Plant Inputs'!J20)</f>
        <v>397019.0</v>
      </c>
      <c r="J8" s="14">
        <f>SUM('Plant Inputs'!K8,'Plant Inputs'!K14,'Plant Inputs'!K20)</f>
        <v>410242.0</v>
      </c>
      <c r="K8" s="14">
        <f>SUM('Plant Inputs'!L8,'Plant Inputs'!L14,'Plant Inputs'!L20)</f>
        <v>352869.0</v>
      </c>
      <c r="L8" s="14">
        <f>SUM('Plant Inputs'!M8,'Plant Inputs'!M14,'Plant Inputs'!M20)</f>
        <v>322341.0</v>
      </c>
      <c r="M8" s="14">
        <f>SUM('Plant Inputs'!N8,'Plant Inputs'!N14,'Plant Inputs'!N20)</f>
        <v>312572.0</v>
      </c>
      <c r="N8" s="14">
        <f>SUM('Plant Inputs'!O8,'Plant Inputs'!O14,'Plant Inputs'!O20)</f>
        <v>342784.0</v>
      </c>
      <c r="O8" s="14">
        <f>SUM('Plant Inputs'!P8,'Plant Inputs'!P14,'Plant Inputs'!P20)</f>
        <v>76378.0</v>
      </c>
      <c r="P8" s="14">
        <f>SUM('Plant Inputs'!Q8,'Plant Inputs'!Q14,'Plant Inputs'!Q20)</f>
        <v>66416.0</v>
      </c>
      <c r="Q8" s="14">
        <f>SUM('Plant Inputs'!R8,'Plant Inputs'!R14,'Plant Inputs'!R20)</f>
        <v>18044.0</v>
      </c>
      <c r="R8" s="14">
        <f>SUM('Plant Inputs'!S8,'Plant Inputs'!S14,'Plant Inputs'!S20)</f>
        <v>10.0</v>
      </c>
      <c r="S8" s="14">
        <f>SUM('Plant Inputs'!T8,'Plant Inputs'!T14,'Plant Inputs'!T20)</f>
        <v>81.8</v>
      </c>
      <c r="T8" s="14">
        <f>SUM('Plant Inputs'!U8,'Plant Inputs'!U14,'Plant Inputs'!U20)</f>
        <v>115.0</v>
      </c>
      <c r="U8" s="14">
        <f>SUM('Plant Inputs'!V8,'Plant Inputs'!V14,'Plant Inputs'!V20)</f>
        <v>112.0</v>
      </c>
      <c r="V8" s="14">
        <f>SUM('Plant Inputs'!W8,'Plant Inputs'!W14,'Plant Inputs'!W20)</f>
        <v>985820.0</v>
      </c>
      <c r="W8" s="14">
        <f>SUM('Plant Inputs'!X8,'Plant Inputs'!X14,'Plant Inputs'!X20)</f>
        <v>298298.6</v>
      </c>
      <c r="X8" s="14">
        <f>SUM('Plant Inputs'!Y8,'Plant Inputs'!Y14,'Plant Inputs'!Y20)</f>
        <v>3674.9999999999995</v>
      </c>
      <c r="Y8" s="14">
        <f>SUM('Plant Inputs'!Z8,'Plant Inputs'!Z14,'Plant Inputs'!Z20)</f>
        <v>673374.0</v>
      </c>
      <c r="Z8" s="14">
        <f>SUM('Plant Inputs'!AA8,'Plant Inputs'!AA14,'Plant Inputs'!AA20)</f>
        <v>216415.0</v>
      </c>
      <c r="AA8" s="14">
        <f>SUM('Plant Inputs'!AB8,'Plant Inputs'!AB14,'Plant Inputs'!AB20)</f>
        <v>1125992.0</v>
      </c>
      <c r="AB8" s="14">
        <f>SUM('Plant Inputs'!AC8,'Plant Inputs'!AC14,'Plant Inputs'!AC20)</f>
        <v>38187.0</v>
      </c>
      <c r="AC8" s="14">
        <f>SUM('Plant Inputs'!AD8,'Plant Inputs'!AD14,'Plant Inputs'!AD20)</f>
        <v>7.0</v>
      </c>
      <c r="AD8" s="14">
        <f>SUM('Plant Inputs'!AE8,'Plant Inputs'!AE14,'Plant Inputs'!AE20)</f>
        <v>193000.0</v>
      </c>
      <c r="AE8" s="14">
        <f>SUM('Plant Inputs'!AF8,'Plant Inputs'!AF14,'Plant Inputs'!AF20)</f>
        <v>2.0</v>
      </c>
      <c r="AF8" s="14">
        <f>SUM('Plant Inputs'!AG8,'Plant Inputs'!AG14,'Plant Inputs'!AG20)</f>
        <v>1.0</v>
      </c>
      <c r="AG8" s="14">
        <f>SUM('Plant Inputs'!AH8,'Plant Inputs'!AH14,'Plant Inputs'!AH20)</f>
        <v>19.0</v>
      </c>
      <c r="AH8" s="14">
        <f>SUM('Plant Inputs'!AI8,'Plant Inputs'!AI14,'Plant Inputs'!AI20)</f>
        <v>1.0</v>
      </c>
      <c r="AI8" s="14">
        <f>SUM('Plant Inputs'!AJ8,'Plant Inputs'!AJ14,'Plant Inputs'!AJ20)</f>
        <v>0.0</v>
      </c>
      <c r="AJ8" s="14">
        <f>SUM('Plant Inputs'!AK8,'Plant Inputs'!AK14,'Plant Inputs'!AK20)</f>
        <v>0.0</v>
      </c>
      <c r="AK8" s="14">
        <f>SUM('Plant Inputs'!AL8,'Plant Inputs'!AL14,'Plant Inputs'!AL20)</f>
        <v>18.0</v>
      </c>
      <c r="AL8" s="14">
        <f>SUM('Plant Inputs'!AM8,'Plant Inputs'!AM14,'Plant Inputs'!AM20)</f>
        <v>1.0</v>
      </c>
      <c r="AM8" s="14">
        <f>SUM('Plant Inputs'!AN8,'Plant Inputs'!AN14,'Plant Inputs'!AN20)</f>
        <v>3.0</v>
      </c>
      <c r="AN8" s="14">
        <f>SUM('Plant Inputs'!AO8,'Plant Inputs'!AO14,'Plant Inputs'!AO20)</f>
        <v>2.0</v>
      </c>
      <c r="AO8" s="14">
        <f>SUM('Plant Inputs'!AP8,'Plant Inputs'!AP14,'Plant Inputs'!AP20)</f>
        <v>3.0</v>
      </c>
      <c r="AP8" s="14">
        <f>SUM('Plant Inputs'!AQ8,'Plant Inputs'!AQ14,'Plant Inputs'!AQ20)</f>
        <v>456.0</v>
      </c>
      <c r="AQ8" s="14">
        <f>SUM('Plant Inputs'!AR8,'Plant Inputs'!AR14,'Plant Inputs'!AR20)</f>
        <v>46.0</v>
      </c>
      <c r="AR8" s="14">
        <f>MIN('Plant Inputs'!AS8,'Plant Inputs'!AS14,'Plant Inputs'!AS20)</f>
        <v>95</v>
      </c>
      <c r="AS8" s="14">
        <f>SUM('Plant Inputs'!AT8,'Plant Inputs'!AT14,'Plant Inputs'!AT20)</f>
        <v>314142.0</v>
      </c>
      <c r="AT8" s="14">
        <f>SUM('Plant Inputs'!AU8,'Plant Inputs'!AU14,'Plant Inputs'!AU20)</f>
        <v>353373.0</v>
      </c>
      <c r="AU8" s="14">
        <f>SUM('Plant Inputs'!AV8,'Plant Inputs'!AV14,'Plant Inputs'!AV20)</f>
        <v>1182005.4</v>
      </c>
      <c r="AV8" s="14">
        <f>SUM('Plant Inputs'!AW8,'Plant Inputs'!AW14,'Plant Inputs'!AW20)</f>
        <v>1328682.5</v>
      </c>
      <c r="AW8" s="14">
        <f>SUM('Plant Inputs'!AX8,'Plant Inputs'!AX14,'Plant Inputs'!AX20)</f>
        <v>61671.0</v>
      </c>
      <c r="AX8" s="14">
        <f>SUM('Plant Inputs'!AY8,'Plant Inputs'!AY14,'Plant Inputs'!AY20)</f>
        <v>46821.8</v>
      </c>
      <c r="AY8" s="14">
        <f>SUM('Plant Inputs'!AZ8,'Plant Inputs'!AZ14,'Plant Inputs'!AZ20)</f>
        <v>574.0</v>
      </c>
      <c r="AZ8" s="14">
        <f>SUM('Plant Inputs'!BA8,'Plant Inputs'!BA14,'Plant Inputs'!BA20)</f>
        <v>510.0</v>
      </c>
      <c r="BA8" s="14">
        <f>SUM('Plant Inputs'!BB8,'Plant Inputs'!BB14,'Plant Inputs'!BB20)</f>
        <v>336937.0</v>
      </c>
      <c r="BB8" s="14">
        <f>SUM('Plant Inputs'!BC8,'Plant Inputs'!BC14,'Plant Inputs'!BC20)</f>
        <v>326540.0</v>
      </c>
      <c r="BC8" s="14">
        <f>SUM('Plant Inputs'!BD8,'Plant Inputs'!BD14,'Plant Inputs'!BD20)</f>
        <v>5196.0</v>
      </c>
      <c r="BD8" s="14">
        <f>SUM('Plant Inputs'!BE8,'Plant Inputs'!BE14,'Plant Inputs'!BE20)</f>
        <v>2534.0</v>
      </c>
      <c r="BE8" s="14">
        <f>SUM('Plant Inputs'!BF8,'Plant Inputs'!BF14,'Plant Inputs'!BF20)</f>
        <v>2660.0</v>
      </c>
      <c r="BF8" s="14">
        <f>SUM('Plant Inputs'!BG8,'Plant Inputs'!BG14,'Plant Inputs'!BG20)</f>
        <v>525426.4</v>
      </c>
      <c r="BG8" s="14">
        <f>SUM('Plant Inputs'!BH8,'Plant Inputs'!BH14,'Plant Inputs'!BH20)</f>
        <v>203713.2</v>
      </c>
      <c r="BH8" s="14">
        <f>SUM('Plant Inputs'!BI8,'Plant Inputs'!BI14,'Plant Inputs'!BI20)</f>
        <v>0.0</v>
      </c>
      <c r="BI8" s="14">
        <f>SUM('Plant Inputs'!BJ8,'Plant Inputs'!BJ14,'Plant Inputs'!BJ20)</f>
        <v>0.0</v>
      </c>
      <c r="BJ8" s="14">
        <f>SUM('Plant Inputs'!BK8,'Plant Inputs'!BK14,'Plant Inputs'!BK20)</f>
        <v>0.0</v>
      </c>
      <c r="BK8" s="14">
        <f>SUM('Plant Inputs'!BL8,'Plant Inputs'!BL14,'Plant Inputs'!BL20)</f>
        <v>1.0</v>
      </c>
      <c r="BL8" s="14">
        <f>SUM('Plant Inputs'!BM8,'Plant Inputs'!BM14,'Plant Inputs'!BM20)</f>
        <v>2.0</v>
      </c>
      <c r="BM8" s="14">
        <f>SUM('Plant Inputs'!BN8,'Plant Inputs'!BN14,'Plant Inputs'!BN20)</f>
        <v>0.0</v>
      </c>
      <c r="BN8" s="14">
        <f>SUM('Plant Inputs'!BO8,'Plant Inputs'!BO14,'Plant Inputs'!BO20)</f>
        <v>0.0</v>
      </c>
      <c r="BO8" s="14">
        <f>SUM('Plant Inputs'!BP8,'Plant Inputs'!BP14,'Plant Inputs'!BP20)</f>
        <v>0.0</v>
      </c>
      <c r="BP8" s="14">
        <f>SUM('Plant Inputs'!BQ8,'Plant Inputs'!BQ14,'Plant Inputs'!BQ20)</f>
        <v>0.0</v>
      </c>
      <c r="BQ8" s="14">
        <f>SUM('Plant Inputs'!BR8,'Plant Inputs'!BR14,'Plant Inputs'!BR20)</f>
        <v>0.0</v>
      </c>
      <c r="BR8" s="14">
        <f>SUM('Plant Inputs'!BS8,'Plant Inputs'!BS14,'Plant Inputs'!BS20)</f>
        <v>0.0</v>
      </c>
      <c r="BS8" s="14">
        <f>MIN('Plant Inputs'!BT8,'Plant Inputs'!BT14,'Plant Inputs'!BT20)</f>
        <v>10</v>
      </c>
      <c r="BT8" s="14">
        <f>SUM('Plant Inputs'!BU8,'Plant Inputs'!BU14,'Plant Inputs'!BU20)</f>
        <v>355856.0</v>
      </c>
      <c r="BU8" s="14">
        <f>SUM('Plant Inputs'!BV8,'Plant Inputs'!BV14,'Plant Inputs'!BV20)</f>
        <v>348535.0</v>
      </c>
      <c r="BV8" s="14">
        <f>SUM('Plant Inputs'!BW8,'Plant Inputs'!BW14,'Plant Inputs'!BW20)</f>
        <v>146074050.0</v>
      </c>
      <c r="BW8" s="14">
        <f>SUM('Plant Inputs'!BX8,'Plant Inputs'!BX14,'Plant Inputs'!BX20)</f>
        <v>397019.0</v>
      </c>
      <c r="BX8" s="14">
        <f>SUM('Plant Inputs'!BY8,'Plant Inputs'!BY14,'Plant Inputs'!BY20)</f>
        <v>16568.0</v>
      </c>
      <c r="BY8" s="16">
        <v>51744.4</v>
      </c>
      <c r="BZ8" s="16">
        <v>26325.4</v>
      </c>
      <c r="CA8" s="16">
        <v>10972800</v>
      </c>
      <c r="CB8" s="16">
        <v>4538500.4</v>
      </c>
      <c r="CC8" s="16">
        <v>890500.4</v>
      </c>
      <c r="CD8" s="16">
        <v>450000.3</v>
      </c>
      <c r="CE8" s="16">
        <v>38304</v>
      </c>
      <c r="CF8" s="16">
        <v>430017.2</v>
      </c>
      <c r="CG8" s="16">
        <v>1434553</v>
      </c>
      <c r="CH8" s="16">
        <v>141020.6</v>
      </c>
      <c r="CI8" s="16">
        <v>1178034.5</v>
      </c>
      <c r="CJ8" s="16">
        <v>1942517.4</v>
      </c>
      <c r="CK8" s="16">
        <v>1220348.1</v>
      </c>
      <c r="CL8" s="16">
        <v>1299238.7</v>
      </c>
      <c r="CM8" s="16">
        <v>1172897</v>
      </c>
      <c r="CN8" s="16">
        <v>595.6</v>
      </c>
      <c r="CO8" s="16">
        <v>111451.4</v>
      </c>
      <c r="CP8" s="16">
        <v>85831.10000000001</v>
      </c>
      <c r="CQ8" s="16">
        <v>429</v>
      </c>
      <c r="CR8" s="16">
        <v>20245</v>
      </c>
      <c r="CS8" s="16">
        <v>19305</v>
      </c>
      <c r="CT8" s="16">
        <v>2</v>
      </c>
      <c r="CU8" s="16">
        <v>814011.1</v>
      </c>
      <c r="CV8" s="16">
        <v>844976.7</v>
      </c>
      <c r="CW8" s="16">
        <v>168030.4</v>
      </c>
      <c r="CX8" s="16">
        <v>3603080.9</v>
      </c>
      <c r="CY8" s="16">
        <v>1658464.7</v>
      </c>
      <c r="CZ8" s="16">
        <v>420833</v>
      </c>
      <c r="DA8" s="16">
        <v>289646.6</v>
      </c>
      <c r="DB8" s="16">
        <v>345045.2</v>
      </c>
      <c r="DC8" s="16">
        <v>254976</v>
      </c>
      <c r="DD8" s="16">
        <v>5930.1</v>
      </c>
      <c r="DE8" s="16">
        <v>6390.2</v>
      </c>
      <c r="DF8" s="16">
        <v>2577012.3</v>
      </c>
      <c r="DG8" s="16">
        <v>2005260.4</v>
      </c>
      <c r="DH8" s="16">
        <v>1000000</v>
      </c>
      <c r="DI8" s="16">
        <v>671475.8</v>
      </c>
      <c r="DJ8" s="16">
        <v>82465.60000000001</v>
      </c>
      <c r="DK8" s="16">
        <v>548000</v>
      </c>
      <c r="DL8" s="16">
        <v>21559.1</v>
      </c>
      <c r="DM8" s="16">
        <v>5</v>
      </c>
      <c r="DN8" s="16">
        <v>1</v>
      </c>
      <c r="DO8" s="16">
        <v>0</v>
      </c>
      <c r="DP8" s="16">
        <v>0</v>
      </c>
      <c r="DQ8" s="16">
        <v>7</v>
      </c>
      <c r="DR8" s="16">
        <v>21</v>
      </c>
      <c r="DS8" s="16">
        <v>5</v>
      </c>
      <c r="DT8" s="16">
        <v>2</v>
      </c>
      <c r="DU8" s="16">
        <v>1</v>
      </c>
      <c r="DV8" s="16">
        <v>60</v>
      </c>
      <c r="DW8" s="16">
        <v>30</v>
      </c>
      <c r="DX8" s="16">
        <v>5059.6</v>
      </c>
      <c r="DY8" s="16">
        <v>3578</v>
      </c>
      <c r="DZ8" s="16">
        <v>1035</v>
      </c>
      <c r="EA8" s="16">
        <v>350.8</v>
      </c>
      <c r="EB8" s="16">
        <v>639.5</v>
      </c>
      <c r="EC8" s="16">
        <v>72</v>
      </c>
      <c r="ED8" s="16">
        <v>68</v>
      </c>
      <c r="EE8" s="16">
        <v>2</v>
      </c>
      <c r="EF8" s="16">
        <v>0</v>
      </c>
      <c r="EG8" s="16">
        <v>2</v>
      </c>
      <c r="EH8" s="16">
        <v>0</v>
      </c>
      <c r="EI8" s="16">
        <v>0</v>
      </c>
      <c r="EJ8" s="16">
        <v>1</v>
      </c>
      <c r="EK8" s="16">
        <v>1</v>
      </c>
      <c r="EL8" s="16">
        <v>1</v>
      </c>
      <c r="EM8" s="16">
        <v>0</v>
      </c>
      <c r="EN8" s="16">
        <v>0</v>
      </c>
      <c r="EO8" s="16">
        <v>0</v>
      </c>
      <c r="EP8" s="16">
        <v>0</v>
      </c>
      <c r="EQ8" s="16">
        <v>2</v>
      </c>
      <c r="ER8" s="16">
        <v>1</v>
      </c>
      <c r="ES8" s="16">
        <v>0</v>
      </c>
      <c r="ET8" s="16">
        <v>1</v>
      </c>
      <c r="EU8" s="16">
        <v>3</v>
      </c>
      <c r="EV8" s="16">
        <v>0</v>
      </c>
      <c r="EW8" s="16">
        <v>0</v>
      </c>
      <c r="EX8" s="16">
        <v>0</v>
      </c>
      <c r="EY8" s="16">
        <v>50</v>
      </c>
      <c r="EZ8" s="16">
        <v>43</v>
      </c>
      <c r="FA8" s="16">
        <v>2</v>
      </c>
      <c r="FB8" s="16">
        <v>60</v>
      </c>
      <c r="FC8" s="16">
        <v>28</v>
      </c>
      <c r="FD8" s="16">
        <v>23</v>
      </c>
      <c r="FE8" s="16">
        <v>26</v>
      </c>
      <c r="FF8" s="16">
        <v>0</v>
      </c>
      <c r="FG8" s="16">
        <v>1</v>
      </c>
      <c r="FH8" s="16">
        <v>1</v>
      </c>
      <c r="FI8" s="16">
        <v>489715</v>
      </c>
      <c r="FJ8" s="16">
        <v>486862</v>
      </c>
      <c r="FK8" s="16">
        <v>400</v>
      </c>
      <c r="FL8" s="16">
        <v>382</v>
      </c>
      <c r="FM8" s="16">
        <v>1</v>
      </c>
      <c r="FN8" s="16">
        <v>0</v>
      </c>
      <c r="FO8" s="16">
        <v>0</v>
      </c>
      <c r="FP8" s="16">
        <v>4</v>
      </c>
      <c r="FQ8" s="16">
        <v>12.2</v>
      </c>
      <c r="FR8" s="16">
        <v>3</v>
      </c>
      <c r="FS8" s="16">
        <v>1</v>
      </c>
      <c r="FT8" s="16">
        <v>1</v>
      </c>
      <c r="FU8" s="16">
        <v>1</v>
      </c>
    </row>
    <row r="9" spans="1:177">
      <c r="A9" t="s">
        <v>15</v>
      </c>
      <c r="B9" t="s">
        <v>170</v>
      </c>
      <c r="C9" t="s">
        <v>177</v>
      </c>
      <c r="D9">
        <v>30</v>
      </c>
      <c r="E9" s="14">
        <f>SUM('Plant Inputs'!F9,'Plant Inputs'!F15,'Plant Inputs'!F21)</f>
        <v>2160.0</v>
      </c>
      <c r="F9" s="14">
        <f>SUM('Plant Inputs'!G9,'Plant Inputs'!G15,'Plant Inputs'!G21)</f>
        <v>2147.0</v>
      </c>
      <c r="G9" s="14">
        <f>SUM('Plant Inputs'!H9,'Plant Inputs'!H15,'Plant Inputs'!H21)</f>
        <v>1984.1999999999998</v>
      </c>
      <c r="H9" s="14">
        <f>SUM('Plant Inputs'!I9,'Plant Inputs'!I15,'Plant Inputs'!I21)</f>
        <v>120.7</v>
      </c>
      <c r="I9" s="14">
        <f>SUM('Plant Inputs'!J9,'Plant Inputs'!J15,'Plant Inputs'!J21)</f>
        <v>394982.0</v>
      </c>
      <c r="J9" s="14">
        <f>SUM('Plant Inputs'!K9,'Plant Inputs'!K15,'Plant Inputs'!K21)</f>
        <v>397008.0</v>
      </c>
      <c r="K9" s="14">
        <f>SUM('Plant Inputs'!L9,'Plant Inputs'!L15,'Plant Inputs'!L21)</f>
        <v>347088.0</v>
      </c>
      <c r="L9" s="14">
        <f>SUM('Plant Inputs'!M9,'Plant Inputs'!M15,'Plant Inputs'!M21)</f>
        <v>327032.0</v>
      </c>
      <c r="M9" s="14">
        <f>SUM('Plant Inputs'!N9,'Plant Inputs'!N15,'Plant Inputs'!N21)</f>
        <v>316798.0</v>
      </c>
      <c r="N9" s="14">
        <f>SUM('Plant Inputs'!O9,'Plant Inputs'!O15,'Plant Inputs'!O21)</f>
        <v>346362.0</v>
      </c>
      <c r="O9" s="14">
        <f>SUM('Plant Inputs'!P9,'Plant Inputs'!P15,'Plant Inputs'!P21)</f>
        <v>77576.0</v>
      </c>
      <c r="P9" s="14">
        <f>SUM('Plant Inputs'!Q9,'Plant Inputs'!Q15,'Plant Inputs'!Q21)</f>
        <v>67855.0</v>
      </c>
      <c r="Q9" s="14">
        <f>SUM('Plant Inputs'!R9,'Plant Inputs'!R15,'Plant Inputs'!R21)</f>
        <v>21684.0</v>
      </c>
      <c r="R9" s="14">
        <f>SUM('Plant Inputs'!S9,'Plant Inputs'!S15,'Plant Inputs'!S21)</f>
        <v>12.0</v>
      </c>
      <c r="S9" s="14">
        <f>SUM('Plant Inputs'!T9,'Plant Inputs'!T15,'Plant Inputs'!T21)</f>
        <v>98.89999999999999</v>
      </c>
      <c r="T9" s="14">
        <f>SUM('Plant Inputs'!U9,'Plant Inputs'!U15,'Plant Inputs'!U21)</f>
        <v>137.0</v>
      </c>
      <c r="U9" s="14">
        <f>SUM('Plant Inputs'!V9,'Plant Inputs'!V15,'Plant Inputs'!V21)</f>
        <v>128.0</v>
      </c>
      <c r="V9" s="14">
        <f>SUM('Plant Inputs'!W9,'Plant Inputs'!W15,'Plant Inputs'!W21)</f>
        <v>900069.3999999999</v>
      </c>
      <c r="W9" s="14">
        <f>SUM('Plant Inputs'!X9,'Plant Inputs'!X15,'Plant Inputs'!X21)</f>
        <v>218672.4</v>
      </c>
      <c r="X9" s="14">
        <f>SUM('Plant Inputs'!Y9,'Plant Inputs'!Y15,'Plant Inputs'!Y21)</f>
        <v>3769.7999999999997</v>
      </c>
      <c r="Y9" s="14">
        <f>SUM('Plant Inputs'!Z9,'Plant Inputs'!Z15,'Plant Inputs'!Z21)</f>
        <v>741310.0</v>
      </c>
      <c r="Z9" s="14">
        <f>SUM('Plant Inputs'!AA9,'Plant Inputs'!AA15,'Plant Inputs'!AA21)</f>
        <v>219505.0</v>
      </c>
      <c r="AA9" s="14">
        <f>SUM('Plant Inputs'!AB9,'Plant Inputs'!AB15,'Plant Inputs'!AB21)</f>
        <v>1144453.0</v>
      </c>
      <c r="AB9" s="14">
        <f>SUM('Plant Inputs'!AC9,'Plant Inputs'!AC15,'Plant Inputs'!AC21)</f>
        <v>30930.0</v>
      </c>
      <c r="AC9" s="14">
        <f>SUM('Plant Inputs'!AD9,'Plant Inputs'!AD15,'Plant Inputs'!AD21)</f>
        <v>5.0</v>
      </c>
      <c r="AD9" s="14">
        <f>SUM('Plant Inputs'!AE9,'Plant Inputs'!AE15,'Plant Inputs'!AE21)</f>
        <v>219000.0</v>
      </c>
      <c r="AE9" s="14">
        <f>SUM('Plant Inputs'!AF9,'Plant Inputs'!AF15,'Plant Inputs'!AF21)</f>
        <v>1.0</v>
      </c>
      <c r="AF9" s="14">
        <f>SUM('Plant Inputs'!AG9,'Plant Inputs'!AG15,'Plant Inputs'!AG21)</f>
        <v>1.0</v>
      </c>
      <c r="AG9" s="14">
        <f>SUM('Plant Inputs'!AH9,'Plant Inputs'!AH15,'Plant Inputs'!AH21)</f>
        <v>20.0</v>
      </c>
      <c r="AH9" s="14">
        <f>SUM('Plant Inputs'!AI9,'Plant Inputs'!AI15,'Plant Inputs'!AI21)</f>
        <v>0.0</v>
      </c>
      <c r="AI9" s="14">
        <f>SUM('Plant Inputs'!AJ9,'Plant Inputs'!AJ15,'Plant Inputs'!AJ21)</f>
        <v>1.0</v>
      </c>
      <c r="AJ9" s="14">
        <f>SUM('Plant Inputs'!AK9,'Plant Inputs'!AK15,'Plant Inputs'!AK21)</f>
        <v>0.0</v>
      </c>
      <c r="AK9" s="14">
        <f>SUM('Plant Inputs'!AL9,'Plant Inputs'!AL15,'Plant Inputs'!AL21)</f>
        <v>28.0</v>
      </c>
      <c r="AL9" s="14">
        <f>SUM('Plant Inputs'!AM9,'Plant Inputs'!AM15,'Plant Inputs'!AM21)</f>
        <v>7.0</v>
      </c>
      <c r="AM9" s="14">
        <f>SUM('Plant Inputs'!AN9,'Plant Inputs'!AN15,'Plant Inputs'!AN21)</f>
        <v>4.0</v>
      </c>
      <c r="AN9" s="14">
        <f>SUM('Plant Inputs'!AO9,'Plant Inputs'!AO15,'Plant Inputs'!AO21)</f>
        <v>3.0</v>
      </c>
      <c r="AO9" s="14">
        <f>SUM('Plant Inputs'!AP9,'Plant Inputs'!AP15,'Plant Inputs'!AP21)</f>
        <v>4.0</v>
      </c>
      <c r="AP9" s="14">
        <f>SUM('Plant Inputs'!AQ9,'Plant Inputs'!AQ15,'Plant Inputs'!AQ21)</f>
        <v>559.0</v>
      </c>
      <c r="AQ9" s="14">
        <f>SUM('Plant Inputs'!AR9,'Plant Inputs'!AR15,'Plant Inputs'!AR21)</f>
        <v>61.0</v>
      </c>
      <c r="AR9" s="14">
        <f>MIN('Plant Inputs'!AS9,'Plant Inputs'!AS15,'Plant Inputs'!AS21)</f>
        <v>65</v>
      </c>
      <c r="AS9" s="14">
        <f>SUM('Plant Inputs'!AT9,'Plant Inputs'!AT15,'Plant Inputs'!AT21)</f>
        <v>310047.0</v>
      </c>
      <c r="AT9" s="14">
        <f>SUM('Plant Inputs'!AU9,'Plant Inputs'!AU15,'Plant Inputs'!AU21)</f>
        <v>347556.0</v>
      </c>
      <c r="AU9" s="14">
        <f>SUM('Plant Inputs'!AV9,'Plant Inputs'!AV15,'Plant Inputs'!AV21)</f>
        <v>1155724.2</v>
      </c>
      <c r="AV9" s="14">
        <f>SUM('Plant Inputs'!AW9,'Plant Inputs'!AW15,'Plant Inputs'!AW21)</f>
        <v>1306810.6</v>
      </c>
      <c r="AW9" s="14">
        <f>SUM('Plant Inputs'!AX9,'Plant Inputs'!AX15,'Plant Inputs'!AX21)</f>
        <v>55885.899999999994</v>
      </c>
      <c r="AX9" s="14">
        <f>SUM('Plant Inputs'!AY9,'Plant Inputs'!AY15,'Plant Inputs'!AY21)</f>
        <v>47328.2</v>
      </c>
      <c r="AY9" s="14">
        <f>SUM('Plant Inputs'!AZ9,'Plant Inputs'!AZ15,'Plant Inputs'!AZ21)</f>
        <v>614.0</v>
      </c>
      <c r="AZ9" s="14">
        <f>SUM('Plant Inputs'!BA9,'Plant Inputs'!BA15,'Plant Inputs'!BA21)</f>
        <v>555.0</v>
      </c>
      <c r="BA9" s="14">
        <f>SUM('Plant Inputs'!BB9,'Plant Inputs'!BB15,'Plant Inputs'!BB21)</f>
        <v>343753.0</v>
      </c>
      <c r="BB9" s="14">
        <f>SUM('Plant Inputs'!BC9,'Plant Inputs'!BC15,'Plant Inputs'!BC21)</f>
        <v>333481.0</v>
      </c>
      <c r="BC9" s="14">
        <f>SUM('Plant Inputs'!BD9,'Plant Inputs'!BD15,'Plant Inputs'!BD21)</f>
        <v>3243.0</v>
      </c>
      <c r="BD9" s="14">
        <f>SUM('Plant Inputs'!BE9,'Plant Inputs'!BE15,'Plant Inputs'!BE21)</f>
        <v>2534.0</v>
      </c>
      <c r="BE9" s="14">
        <f>SUM('Plant Inputs'!BF9,'Plant Inputs'!BF15,'Plant Inputs'!BF21)</f>
        <v>2709.0</v>
      </c>
      <c r="BF9" s="14">
        <f>SUM('Plant Inputs'!BG9,'Plant Inputs'!BG15,'Plant Inputs'!BG21)</f>
        <v>498240.2</v>
      </c>
      <c r="BG9" s="14">
        <f>SUM('Plant Inputs'!BH9,'Plant Inputs'!BH15,'Plant Inputs'!BH21)</f>
        <v>173445.1</v>
      </c>
      <c r="BH9" s="14">
        <f>SUM('Plant Inputs'!BI9,'Plant Inputs'!BI15,'Plant Inputs'!BI21)</f>
        <v>1.0</v>
      </c>
      <c r="BI9" s="14">
        <f>SUM('Plant Inputs'!BJ9,'Plant Inputs'!BJ15,'Plant Inputs'!BJ21)</f>
        <v>0.0</v>
      </c>
      <c r="BJ9" s="14">
        <f>SUM('Plant Inputs'!BK9,'Plant Inputs'!BK15,'Plant Inputs'!BK21)</f>
        <v>2.0</v>
      </c>
      <c r="BK9" s="14">
        <f>SUM('Plant Inputs'!BL9,'Plant Inputs'!BL15,'Plant Inputs'!BL21)</f>
        <v>1.0</v>
      </c>
      <c r="BL9" s="14">
        <f>SUM('Plant Inputs'!BM9,'Plant Inputs'!BM15,'Plant Inputs'!BM21)</f>
        <v>1.0</v>
      </c>
      <c r="BM9" s="14">
        <f>SUM('Plant Inputs'!BN9,'Plant Inputs'!BN15,'Plant Inputs'!BN21)</f>
        <v>0.0</v>
      </c>
      <c r="BN9" s="14">
        <f>SUM('Plant Inputs'!BO9,'Plant Inputs'!BO15,'Plant Inputs'!BO21)</f>
        <v>0.0</v>
      </c>
      <c r="BO9" s="14">
        <f>SUM('Plant Inputs'!BP9,'Plant Inputs'!BP15,'Plant Inputs'!BP21)</f>
        <v>0.0</v>
      </c>
      <c r="BP9" s="14">
        <f>SUM('Plant Inputs'!BQ9,'Plant Inputs'!BQ15,'Plant Inputs'!BQ21)</f>
        <v>0.0</v>
      </c>
      <c r="BQ9" s="14">
        <f>SUM('Plant Inputs'!BR9,'Plant Inputs'!BR15,'Plant Inputs'!BR21)</f>
        <v>0.0</v>
      </c>
      <c r="BR9" s="14">
        <f>SUM('Plant Inputs'!BS9,'Plant Inputs'!BS15,'Plant Inputs'!BS21)</f>
        <v>0.0</v>
      </c>
      <c r="BS9" s="14">
        <f>MIN('Plant Inputs'!BT9,'Plant Inputs'!BT15,'Plant Inputs'!BT21)</f>
        <v>4</v>
      </c>
      <c r="BT9" s="14">
        <f>SUM('Plant Inputs'!BU9,'Plant Inputs'!BU15,'Plant Inputs'!BU21)</f>
        <v>347978.0</v>
      </c>
      <c r="BU9" s="14">
        <f>SUM('Plant Inputs'!BV9,'Plant Inputs'!BV15,'Plant Inputs'!BV21)</f>
        <v>338180.0</v>
      </c>
      <c r="BV9" s="14">
        <f>SUM('Plant Inputs'!BW9,'Plant Inputs'!BW15,'Plant Inputs'!BW21)</f>
        <v>143103746.0</v>
      </c>
      <c r="BW9" s="14">
        <f>SUM('Plant Inputs'!BX9,'Plant Inputs'!BX15,'Plant Inputs'!BX21)</f>
        <v>394982.0</v>
      </c>
      <c r="BX9" s="14">
        <f>SUM('Plant Inputs'!BY9,'Plant Inputs'!BY15,'Plant Inputs'!BY21)</f>
        <v>22295.0</v>
      </c>
      <c r="BY9" s="16">
        <v>50448.8</v>
      </c>
      <c r="BZ9" s="16">
        <v>37174.1</v>
      </c>
      <c r="CA9" s="16">
        <v>11016000</v>
      </c>
      <c r="CB9" s="16">
        <v>4577082.6</v>
      </c>
      <c r="CC9" s="16">
        <v>967082.6</v>
      </c>
      <c r="CD9" s="16">
        <v>449031.4</v>
      </c>
      <c r="CE9" s="16">
        <v>37905</v>
      </c>
      <c r="CF9" s="16">
        <v>486342.3</v>
      </c>
      <c r="CG9" s="16">
        <v>1440701.8</v>
      </c>
      <c r="CH9" s="16">
        <v>201088.9</v>
      </c>
      <c r="CI9" s="16">
        <v>1153045</v>
      </c>
      <c r="CJ9" s="16">
        <v>2003213.3</v>
      </c>
      <c r="CK9" s="16">
        <v>1205957.8</v>
      </c>
      <c r="CL9" s="16">
        <v>1214918.8</v>
      </c>
      <c r="CM9" s="16">
        <v>1158127.3</v>
      </c>
      <c r="CN9" s="16">
        <v>843.3</v>
      </c>
      <c r="CO9" s="16">
        <v>122055.2</v>
      </c>
      <c r="CP9" s="16">
        <v>94842.60000000001</v>
      </c>
      <c r="CQ9" s="16">
        <v>395</v>
      </c>
      <c r="CR9" s="16">
        <v>18541</v>
      </c>
      <c r="CS9" s="16">
        <v>17775</v>
      </c>
      <c r="CT9" s="16">
        <v>2</v>
      </c>
      <c r="CU9" s="16">
        <v>1161973.5</v>
      </c>
      <c r="CV9" s="16">
        <v>1210504.1</v>
      </c>
      <c r="CW9" s="16">
        <v>164691.3</v>
      </c>
      <c r="CX9" s="16">
        <v>3584699.7</v>
      </c>
      <c r="CY9" s="16">
        <v>2391562.6</v>
      </c>
      <c r="CZ9" s="16">
        <v>437492.4</v>
      </c>
      <c r="DA9" s="16">
        <v>314223.8</v>
      </c>
      <c r="DB9" s="16">
        <v>354951.3</v>
      </c>
      <c r="DC9" s="16">
        <v>255711.3</v>
      </c>
      <c r="DD9" s="16">
        <v>7006.3</v>
      </c>
      <c r="DE9" s="16">
        <v>7653.2</v>
      </c>
      <c r="DF9" s="16">
        <v>2579231.2</v>
      </c>
      <c r="DG9" s="16">
        <v>2009224.9</v>
      </c>
      <c r="DH9" s="16">
        <v>1000000</v>
      </c>
      <c r="DI9" s="16">
        <v>722629.1</v>
      </c>
      <c r="DJ9" s="16">
        <v>79170.5</v>
      </c>
      <c r="DK9" s="16">
        <v>590000</v>
      </c>
      <c r="DL9" s="16">
        <v>20798.4</v>
      </c>
      <c r="DM9" s="16">
        <v>5</v>
      </c>
      <c r="DN9" s="16">
        <v>1</v>
      </c>
      <c r="DO9" s="16">
        <v>0</v>
      </c>
      <c r="DP9" s="16">
        <v>0</v>
      </c>
      <c r="DQ9" s="16">
        <v>4</v>
      </c>
      <c r="DR9" s="16">
        <v>10</v>
      </c>
      <c r="DS9" s="16">
        <v>5</v>
      </c>
      <c r="DT9" s="16">
        <v>2</v>
      </c>
      <c r="DU9" s="16">
        <v>1</v>
      </c>
      <c r="DV9" s="16">
        <v>60</v>
      </c>
      <c r="DW9" s="16">
        <v>32</v>
      </c>
      <c r="DX9" s="16">
        <v>4825.8</v>
      </c>
      <c r="DY9" s="16">
        <v>3192.7</v>
      </c>
      <c r="DZ9" s="16">
        <v>1075</v>
      </c>
      <c r="EA9" s="16">
        <v>391.3</v>
      </c>
      <c r="EB9" s="16">
        <v>648.2</v>
      </c>
      <c r="EC9" s="16">
        <v>72</v>
      </c>
      <c r="ED9" s="16">
        <v>69</v>
      </c>
      <c r="EE9" s="16">
        <v>2</v>
      </c>
      <c r="EF9" s="16">
        <v>0</v>
      </c>
      <c r="EG9" s="16">
        <v>2</v>
      </c>
      <c r="EH9" s="16">
        <v>0</v>
      </c>
      <c r="EI9" s="16">
        <v>0</v>
      </c>
      <c r="EJ9" s="16">
        <v>0</v>
      </c>
      <c r="EK9" s="16">
        <v>0</v>
      </c>
      <c r="EL9" s="16">
        <v>1</v>
      </c>
      <c r="EM9" s="16">
        <v>0</v>
      </c>
      <c r="EN9" s="16">
        <v>0</v>
      </c>
      <c r="EO9" s="16">
        <v>0</v>
      </c>
      <c r="EP9" s="16">
        <v>0</v>
      </c>
      <c r="EQ9" s="16">
        <v>1</v>
      </c>
      <c r="ER9" s="16">
        <v>1</v>
      </c>
      <c r="ES9" s="16">
        <v>0</v>
      </c>
      <c r="ET9" s="16">
        <v>1</v>
      </c>
      <c r="EU9" s="16">
        <v>2</v>
      </c>
      <c r="EV9" s="16">
        <v>0</v>
      </c>
      <c r="EW9" s="16">
        <v>0</v>
      </c>
      <c r="EX9" s="16">
        <v>0</v>
      </c>
      <c r="EY9" s="16">
        <v>50</v>
      </c>
      <c r="EZ9" s="16">
        <v>43</v>
      </c>
      <c r="FA9" s="16">
        <v>3</v>
      </c>
      <c r="FB9" s="16">
        <v>88</v>
      </c>
      <c r="FC9" s="16">
        <v>28</v>
      </c>
      <c r="FD9" s="16">
        <v>23</v>
      </c>
      <c r="FE9" s="16">
        <v>26</v>
      </c>
      <c r="FF9" s="16">
        <v>0</v>
      </c>
      <c r="FG9" s="16">
        <v>1</v>
      </c>
      <c r="FH9" s="16">
        <v>1</v>
      </c>
      <c r="FI9" s="16">
        <v>500044</v>
      </c>
      <c r="FJ9" s="16">
        <v>494690</v>
      </c>
      <c r="FK9" s="16">
        <v>400</v>
      </c>
      <c r="FL9" s="16">
        <v>377</v>
      </c>
      <c r="FM9" s="16">
        <v>1</v>
      </c>
      <c r="FN9" s="16">
        <v>0</v>
      </c>
      <c r="FO9" s="16">
        <v>0</v>
      </c>
      <c r="FP9" s="16">
        <v>6</v>
      </c>
      <c r="FQ9" s="16">
        <v>16.7</v>
      </c>
      <c r="FR9" s="16">
        <v>3</v>
      </c>
      <c r="FS9" s="16">
        <v>1</v>
      </c>
      <c r="FT9" s="16">
        <v>1</v>
      </c>
      <c r="FU9" s="16">
        <v>1</v>
      </c>
    </row>
    <row r="10" spans="1:177">
      <c r="A10" t="s">
        <v>15</v>
      </c>
      <c r="B10" t="s">
        <v>180</v>
      </c>
      <c r="C10" t="s">
        <v>172</v>
      </c>
      <c r="D10">
        <v>30</v>
      </c>
      <c r="E10" s="14">
        <f>SUM('Plant Inputs'!F22,'Plant Inputs'!F28,'Plant Inputs'!F34)</f>
        <v>2160.0</v>
      </c>
      <c r="F10" s="14">
        <f>SUM('Plant Inputs'!G22,'Plant Inputs'!G28,'Plant Inputs'!G34)</f>
        <v>2143.0</v>
      </c>
      <c r="G10" s="14">
        <f>SUM('Plant Inputs'!H22,'Plant Inputs'!H28,'Plant Inputs'!H34)</f>
        <v>2067.0</v>
      </c>
      <c r="H10" s="14">
        <f>SUM('Plant Inputs'!I22,'Plant Inputs'!I28,'Plant Inputs'!I34)</f>
        <v>41.1</v>
      </c>
      <c r="I10" s="14">
        <f>SUM('Plant Inputs'!J22,'Plant Inputs'!J28,'Plant Inputs'!J34)</f>
        <v>349737.0</v>
      </c>
      <c r="J10" s="14">
        <f>SUM('Plant Inputs'!K22,'Plant Inputs'!K28,'Plant Inputs'!K34)</f>
        <v>352800.0</v>
      </c>
      <c r="K10" s="14">
        <f>SUM('Plant Inputs'!L22,'Plant Inputs'!L28,'Plant Inputs'!L34)</f>
        <v>308197.0</v>
      </c>
      <c r="L10" s="14">
        <f>SUM('Plant Inputs'!M22,'Plant Inputs'!M28,'Plant Inputs'!M34)</f>
        <v>321572.0</v>
      </c>
      <c r="M10" s="14">
        <f>SUM('Plant Inputs'!N22,'Plant Inputs'!N28,'Plant Inputs'!N34)</f>
        <v>308494.0</v>
      </c>
      <c r="N10" s="14">
        <f>SUM('Plant Inputs'!O22,'Plant Inputs'!O28,'Plant Inputs'!O34)</f>
        <v>337601.0</v>
      </c>
      <c r="O10" s="14">
        <f>SUM('Plant Inputs'!P22,'Plant Inputs'!P28,'Plant Inputs'!P34)</f>
        <v>77315.0</v>
      </c>
      <c r="P10" s="14">
        <f>SUM('Plant Inputs'!Q22,'Plant Inputs'!Q28,'Plant Inputs'!Q34)</f>
        <v>67290.0</v>
      </c>
      <c r="Q10" s="14">
        <f>SUM('Plant Inputs'!R22,'Plant Inputs'!R28,'Plant Inputs'!R34)</f>
        <v>6880.0</v>
      </c>
      <c r="R10" s="14">
        <f>SUM('Plant Inputs'!S22,'Plant Inputs'!S28,'Plant Inputs'!S34)</f>
        <v>5.0</v>
      </c>
      <c r="S10" s="14">
        <f>SUM('Plant Inputs'!T22,'Plant Inputs'!T28,'Plant Inputs'!T34)</f>
        <v>23.8</v>
      </c>
      <c r="T10" s="14">
        <f>SUM('Plant Inputs'!U22,'Plant Inputs'!U28,'Plant Inputs'!U34)</f>
        <v>137.0</v>
      </c>
      <c r="U10" s="14">
        <f>SUM('Plant Inputs'!V22,'Plant Inputs'!V28,'Plant Inputs'!V34)</f>
        <v>128.0</v>
      </c>
      <c r="V10" s="14">
        <f>SUM('Plant Inputs'!W22,'Plant Inputs'!W28,'Plant Inputs'!W34)</f>
        <v>941704.0</v>
      </c>
      <c r="W10" s="14">
        <f>SUM('Plant Inputs'!X22,'Plant Inputs'!X28,'Plant Inputs'!X34)</f>
        <v>257432.69999999998</v>
      </c>
      <c r="X10" s="14">
        <f>SUM('Plant Inputs'!Y22,'Plant Inputs'!Y28,'Plant Inputs'!Y34)</f>
        <v>3422.3</v>
      </c>
      <c r="Y10" s="14">
        <f>SUM('Plant Inputs'!Z22,'Plant Inputs'!Z28,'Plant Inputs'!Z34)</f>
        <v>688999.0</v>
      </c>
      <c r="Z10" s="14">
        <f>SUM('Plant Inputs'!AA22,'Plant Inputs'!AA28,'Plant Inputs'!AA34)</f>
        <v>194946.0</v>
      </c>
      <c r="AA10" s="14">
        <f>SUM('Plant Inputs'!AB22,'Plant Inputs'!AB28,'Plant Inputs'!AB34)</f>
        <v>1050428.0</v>
      </c>
      <c r="AB10" s="14">
        <f>SUM('Plant Inputs'!AC22,'Plant Inputs'!AC28,'Plant Inputs'!AC34)</f>
        <v>2688.0</v>
      </c>
      <c r="AC10" s="14">
        <f>SUM('Plant Inputs'!AD22,'Plant Inputs'!AD28,'Plant Inputs'!AD34)</f>
        <v>4.0</v>
      </c>
      <c r="AD10" s="14">
        <f>SUM('Plant Inputs'!AE22,'Plant Inputs'!AE28,'Plant Inputs'!AE34)</f>
        <v>238000.0</v>
      </c>
      <c r="AE10" s="14">
        <f>SUM('Plant Inputs'!AF22,'Plant Inputs'!AF28,'Plant Inputs'!AF34)</f>
        <v>2.0</v>
      </c>
      <c r="AF10" s="14">
        <f>SUM('Plant Inputs'!AG22,'Plant Inputs'!AG28,'Plant Inputs'!AG34)</f>
        <v>0.0</v>
      </c>
      <c r="AG10" s="14">
        <f>SUM('Plant Inputs'!AH22,'Plant Inputs'!AH28,'Plant Inputs'!AH34)</f>
        <v>18.0</v>
      </c>
      <c r="AH10" s="14">
        <f>SUM('Plant Inputs'!AI22,'Plant Inputs'!AI28,'Plant Inputs'!AI34)</f>
        <v>0.0</v>
      </c>
      <c r="AI10" s="14">
        <f>SUM('Plant Inputs'!AJ22,'Plant Inputs'!AJ28,'Plant Inputs'!AJ34)</f>
        <v>1.0</v>
      </c>
      <c r="AJ10" s="14">
        <f>SUM('Plant Inputs'!AK22,'Plant Inputs'!AK28,'Plant Inputs'!AK34)</f>
        <v>1.0</v>
      </c>
      <c r="AK10" s="14">
        <f>SUM('Plant Inputs'!AL22,'Plant Inputs'!AL28,'Plant Inputs'!AL34)</f>
        <v>35.0</v>
      </c>
      <c r="AL10" s="14">
        <f>SUM('Plant Inputs'!AM22,'Plant Inputs'!AM28,'Plant Inputs'!AM34)</f>
        <v>5.0</v>
      </c>
      <c r="AM10" s="14">
        <f>SUM('Plant Inputs'!AN22,'Plant Inputs'!AN28,'Plant Inputs'!AN34)</f>
        <v>5.0</v>
      </c>
      <c r="AN10" s="14">
        <f>SUM('Plant Inputs'!AO22,'Plant Inputs'!AO28,'Plant Inputs'!AO34)</f>
        <v>3.0</v>
      </c>
      <c r="AO10" s="14">
        <f>SUM('Plant Inputs'!AP22,'Plant Inputs'!AP28,'Plant Inputs'!AP34)</f>
        <v>2.0</v>
      </c>
      <c r="AP10" s="14">
        <f>SUM('Plant Inputs'!AQ22,'Plant Inputs'!AQ28,'Plant Inputs'!AQ34)</f>
        <v>561.0</v>
      </c>
      <c r="AQ10" s="14">
        <f>SUM('Plant Inputs'!AR22,'Plant Inputs'!AR28,'Plant Inputs'!AR34)</f>
        <v>37.0</v>
      </c>
      <c r="AR10" s="14">
        <f>MIN('Plant Inputs'!AS22,'Plant Inputs'!AS28,'Plant Inputs'!AS34)</f>
        <v>252</v>
      </c>
      <c r="AS10" s="14">
        <f>SUM('Plant Inputs'!AT22,'Plant Inputs'!AT28,'Plant Inputs'!AT34)</f>
        <v>306461.0</v>
      </c>
      <c r="AT10" s="14">
        <f>SUM('Plant Inputs'!AU22,'Plant Inputs'!AU28,'Plant Inputs'!AU34)</f>
        <v>309186.0</v>
      </c>
      <c r="AU10" s="14">
        <f>SUM('Plant Inputs'!AV22,'Plant Inputs'!AV28,'Plant Inputs'!AV34)</f>
        <v>1153204.7999999998</v>
      </c>
      <c r="AV10" s="14">
        <f>SUM('Plant Inputs'!AW22,'Plant Inputs'!AW28,'Plant Inputs'!AW34)</f>
        <v>1162539.4</v>
      </c>
      <c r="AW10" s="14">
        <f>SUM('Plant Inputs'!AX22,'Plant Inputs'!AX28,'Plant Inputs'!AX34)</f>
        <v>55440.7</v>
      </c>
      <c r="AX10" s="14">
        <f>SUM('Plant Inputs'!AY22,'Plant Inputs'!AY28,'Plant Inputs'!AY34)</f>
        <v>42632.8</v>
      </c>
      <c r="AY10" s="14">
        <f>SUM('Plant Inputs'!AZ22,'Plant Inputs'!AZ28,'Plant Inputs'!AZ34)</f>
        <v>760.0</v>
      </c>
      <c r="AZ10" s="14">
        <f>SUM('Plant Inputs'!BA22,'Plant Inputs'!BA28,'Plant Inputs'!BA34)</f>
        <v>696.0</v>
      </c>
      <c r="BA10" s="14">
        <f>SUM('Plant Inputs'!BB22,'Plant Inputs'!BB28,'Plant Inputs'!BB34)</f>
        <v>333873.0</v>
      </c>
      <c r="BB10" s="14">
        <f>SUM('Plant Inputs'!BC22,'Plant Inputs'!BC28,'Plant Inputs'!BC34)</f>
        <v>319297.0</v>
      </c>
      <c r="BC10" s="14">
        <f>SUM('Plant Inputs'!BD22,'Plant Inputs'!BD28,'Plant Inputs'!BD34)</f>
        <v>3807.0</v>
      </c>
      <c r="BD10" s="14">
        <f>SUM('Plant Inputs'!BE22,'Plant Inputs'!BE28,'Plant Inputs'!BE34)</f>
        <v>2520.0</v>
      </c>
      <c r="BE10" s="14">
        <f>SUM('Plant Inputs'!BF22,'Plant Inputs'!BF28,'Plant Inputs'!BF34)</f>
        <v>2637.0</v>
      </c>
      <c r="BF10" s="14">
        <f>SUM('Plant Inputs'!BG22,'Plant Inputs'!BG28,'Plant Inputs'!BG34)</f>
        <v>549659.8</v>
      </c>
      <c r="BG10" s="14">
        <f>SUM('Plant Inputs'!BH22,'Plant Inputs'!BH28,'Plant Inputs'!BH34)</f>
        <v>170414.8</v>
      </c>
      <c r="BH10" s="14">
        <f>SUM('Plant Inputs'!BI22,'Plant Inputs'!BI28,'Plant Inputs'!BI34)</f>
        <v>0.0</v>
      </c>
      <c r="BI10" s="14">
        <f>SUM('Plant Inputs'!BJ22,'Plant Inputs'!BJ28,'Plant Inputs'!BJ34)</f>
        <v>2.0</v>
      </c>
      <c r="BJ10" s="14">
        <f>SUM('Plant Inputs'!BK22,'Plant Inputs'!BK28,'Plant Inputs'!BK34)</f>
        <v>0.0</v>
      </c>
      <c r="BK10" s="14">
        <f>SUM('Plant Inputs'!BL22,'Plant Inputs'!BL28,'Plant Inputs'!BL34)</f>
        <v>1.0</v>
      </c>
      <c r="BL10" s="14">
        <f>SUM('Plant Inputs'!BM22,'Plant Inputs'!BM28,'Plant Inputs'!BM34)</f>
        <v>1.0</v>
      </c>
      <c r="BM10" s="14">
        <f>SUM('Plant Inputs'!BN22,'Plant Inputs'!BN28,'Plant Inputs'!BN34)</f>
        <v>0.0</v>
      </c>
      <c r="BN10" s="14">
        <f>SUM('Plant Inputs'!BO22,'Plant Inputs'!BO28,'Plant Inputs'!BO34)</f>
        <v>0.0</v>
      </c>
      <c r="BO10" s="14">
        <f>SUM('Plant Inputs'!BP22,'Plant Inputs'!BP28,'Plant Inputs'!BP34)</f>
        <v>0.0</v>
      </c>
      <c r="BP10" s="14">
        <f>SUM('Plant Inputs'!BQ22,'Plant Inputs'!BQ28,'Plant Inputs'!BQ34)</f>
        <v>0.0</v>
      </c>
      <c r="BQ10" s="14">
        <f>SUM('Plant Inputs'!BR22,'Plant Inputs'!BR28,'Plant Inputs'!BR34)</f>
        <v>0.0</v>
      </c>
      <c r="BR10" s="14">
        <f>SUM('Plant Inputs'!BS22,'Plant Inputs'!BS28,'Plant Inputs'!BS34)</f>
        <v>0.0</v>
      </c>
      <c r="BS10" s="14">
        <f>MIN('Plant Inputs'!BT22,'Plant Inputs'!BT28,'Plant Inputs'!BT34)</f>
        <v>99</v>
      </c>
      <c r="BT10" s="14">
        <f>SUM('Plant Inputs'!BU22,'Plant Inputs'!BU28,'Plant Inputs'!BU34)</f>
        <v>310908.0</v>
      </c>
      <c r="BU10" s="14">
        <f>SUM('Plant Inputs'!BV22,'Plant Inputs'!BV28,'Plant Inputs'!BV34)</f>
        <v>314492.0</v>
      </c>
      <c r="BV10" s="14">
        <f>SUM('Plant Inputs'!BW22,'Plant Inputs'!BW28,'Plant Inputs'!BW34)</f>
        <v>132132220.0</v>
      </c>
      <c r="BW10" s="14">
        <f>SUM('Plant Inputs'!BX22,'Plant Inputs'!BX28,'Plant Inputs'!BX34)</f>
        <v>349737.0</v>
      </c>
      <c r="BX10" s="14">
        <f>SUM('Plant Inputs'!BY22,'Plant Inputs'!BY28,'Plant Inputs'!BY34)</f>
        <v>7489.0</v>
      </c>
      <c r="BY10" s="16">
        <v>53970.6</v>
      </c>
      <c r="BZ10" s="16">
        <v>29831.4</v>
      </c>
      <c r="CA10" s="16">
        <v>10000000</v>
      </c>
      <c r="CB10" s="16">
        <v>4362932.7</v>
      </c>
      <c r="CC10" s="16">
        <v>1162932.7</v>
      </c>
      <c r="CD10" s="16">
        <v>466410.4</v>
      </c>
      <c r="CE10" s="16">
        <v>33600</v>
      </c>
      <c r="CF10" s="16">
        <v>401681.3</v>
      </c>
      <c r="CG10" s="16">
        <v>1363476.4</v>
      </c>
      <c r="CH10" s="16">
        <v>154555.6</v>
      </c>
      <c r="CI10" s="16">
        <v>1144080.8</v>
      </c>
      <c r="CJ10" s="16">
        <v>1670373.1</v>
      </c>
      <c r="CK10" s="16">
        <v>1974556.3</v>
      </c>
      <c r="CL10" s="16">
        <v>1075076.8</v>
      </c>
      <c r="CM10" s="16">
        <v>1128578.1</v>
      </c>
      <c r="CN10" s="16">
        <v>3306.5</v>
      </c>
      <c r="CO10" s="16">
        <v>70251.8</v>
      </c>
      <c r="CP10" s="16">
        <v>70251.8</v>
      </c>
      <c r="CQ10" s="16">
        <v>374</v>
      </c>
      <c r="CR10" s="16">
        <v>16795</v>
      </c>
      <c r="CS10" s="16">
        <v>16830</v>
      </c>
      <c r="CT10" s="16">
        <v>0</v>
      </c>
      <c r="CU10" s="16">
        <v>924339.3</v>
      </c>
      <c r="CV10" s="16">
        <v>930922.9</v>
      </c>
      <c r="CW10" s="16">
        <v>142690.9</v>
      </c>
      <c r="CX10" s="16">
        <v>3180825.9</v>
      </c>
      <c r="CY10" s="16">
        <v>1800841.3</v>
      </c>
      <c r="CZ10" s="16">
        <v>298827.6</v>
      </c>
      <c r="DA10" s="16">
        <v>219185.2</v>
      </c>
      <c r="DB10" s="16">
        <v>234572</v>
      </c>
      <c r="DC10" s="16">
        <v>172016.9</v>
      </c>
      <c r="DD10" s="16">
        <v>4570.2</v>
      </c>
      <c r="DE10" s="16">
        <v>5149.9</v>
      </c>
      <c r="DF10" s="16">
        <v>1763562.5</v>
      </c>
      <c r="DG10" s="16">
        <v>1050789.6</v>
      </c>
      <c r="DH10" s="16">
        <v>860000</v>
      </c>
      <c r="DI10" s="16">
        <v>389482.4</v>
      </c>
      <c r="DJ10" s="16">
        <v>69779.5</v>
      </c>
      <c r="DK10" s="16">
        <v>326800</v>
      </c>
      <c r="DL10" s="16">
        <v>116966</v>
      </c>
      <c r="DM10" s="16">
        <v>4</v>
      </c>
      <c r="DN10" s="16">
        <v>1</v>
      </c>
      <c r="DO10" s="16">
        <v>0</v>
      </c>
      <c r="DP10" s="16">
        <v>0</v>
      </c>
      <c r="DQ10" s="16">
        <v>4</v>
      </c>
      <c r="DR10" s="16">
        <v>5</v>
      </c>
      <c r="DS10" s="16">
        <v>10</v>
      </c>
      <c r="DT10" s="16">
        <v>4</v>
      </c>
      <c r="DU10" s="16">
        <v>2</v>
      </c>
      <c r="DV10" s="16">
        <v>64</v>
      </c>
      <c r="DW10" s="16">
        <v>19</v>
      </c>
      <c r="DX10" s="16">
        <v>9130.700000000001</v>
      </c>
      <c r="DY10" s="16">
        <v>3031.5</v>
      </c>
      <c r="DZ10" s="16">
        <v>1376</v>
      </c>
      <c r="EA10" s="16">
        <v>1091.6</v>
      </c>
      <c r="EB10" s="16">
        <v>1173.7</v>
      </c>
      <c r="EC10" s="16">
        <v>68</v>
      </c>
      <c r="ED10" s="16">
        <v>66</v>
      </c>
      <c r="EE10" s="16">
        <v>2</v>
      </c>
      <c r="EF10" s="16">
        <v>1</v>
      </c>
      <c r="EG10" s="16">
        <v>1</v>
      </c>
      <c r="EH10" s="16">
        <v>0</v>
      </c>
      <c r="EI10" s="16">
        <v>0</v>
      </c>
      <c r="EJ10" s="16">
        <v>1</v>
      </c>
      <c r="EK10" s="16">
        <v>1</v>
      </c>
      <c r="EL10" s="16">
        <v>0</v>
      </c>
      <c r="EM10" s="16">
        <v>0</v>
      </c>
      <c r="EN10" s="16">
        <v>0</v>
      </c>
      <c r="EO10" s="16">
        <v>0</v>
      </c>
      <c r="EP10" s="16">
        <v>0</v>
      </c>
      <c r="EQ10" s="16">
        <v>0</v>
      </c>
      <c r="ER10" s="16">
        <v>0</v>
      </c>
      <c r="ES10" s="16">
        <v>0</v>
      </c>
      <c r="ET10" s="16">
        <v>0</v>
      </c>
      <c r="EU10" s="16">
        <v>6</v>
      </c>
      <c r="EV10" s="16">
        <v>0</v>
      </c>
      <c r="EW10" s="16">
        <v>1</v>
      </c>
      <c r="EX10" s="16">
        <v>1</v>
      </c>
      <c r="EY10" s="16">
        <v>58</v>
      </c>
      <c r="EZ10" s="16">
        <v>52</v>
      </c>
      <c r="FA10" s="16">
        <v>3</v>
      </c>
      <c r="FB10" s="16">
        <v>111</v>
      </c>
      <c r="FC10" s="16">
        <v>28</v>
      </c>
      <c r="FD10" s="16">
        <v>24</v>
      </c>
      <c r="FE10" s="16">
        <v>26</v>
      </c>
      <c r="FF10" s="16">
        <v>1</v>
      </c>
      <c r="FG10" s="16">
        <v>0</v>
      </c>
      <c r="FH10" s="16">
        <v>0</v>
      </c>
      <c r="FI10" s="16">
        <v>514962</v>
      </c>
      <c r="FJ10" s="16">
        <v>512268</v>
      </c>
      <c r="FK10" s="16">
        <v>420</v>
      </c>
      <c r="FL10" s="16">
        <v>413</v>
      </c>
      <c r="FM10" s="16">
        <v>0</v>
      </c>
      <c r="FN10" s="16">
        <v>0</v>
      </c>
      <c r="FO10" s="16">
        <v>0</v>
      </c>
      <c r="FP10" s="16">
        <v>6</v>
      </c>
      <c r="FQ10" s="16">
        <v>12.9</v>
      </c>
      <c r="FR10" s="16">
        <v>8</v>
      </c>
      <c r="FS10" s="16">
        <v>0</v>
      </c>
      <c r="FT10" s="16">
        <v>1</v>
      </c>
      <c r="FU10" s="16">
        <v>1</v>
      </c>
    </row>
    <row r="11" spans="1:177">
      <c r="A11" t="s">
        <v>15</v>
      </c>
      <c r="B11" t="s">
        <v>180</v>
      </c>
      <c r="C11" t="s">
        <v>173</v>
      </c>
      <c r="D11">
        <v>31</v>
      </c>
      <c r="E11" s="14">
        <f>SUM('Plant Inputs'!F23,'Plant Inputs'!F29,'Plant Inputs'!F35)</f>
        <v>2232.0</v>
      </c>
      <c r="F11" s="14">
        <f>SUM('Plant Inputs'!G23,'Plant Inputs'!G29,'Plant Inputs'!G35)</f>
        <v>2096.0</v>
      </c>
      <c r="G11" s="14">
        <f>SUM('Plant Inputs'!H23,'Plant Inputs'!H29,'Plant Inputs'!H35)</f>
        <v>1982.7</v>
      </c>
      <c r="H11" s="14">
        <f>SUM('Plant Inputs'!I23,'Plant Inputs'!I29,'Plant Inputs'!I35)</f>
        <v>79.89999999999999</v>
      </c>
      <c r="I11" s="14">
        <f>SUM('Plant Inputs'!J23,'Plant Inputs'!J29,'Plant Inputs'!J35)</f>
        <v>339769.0</v>
      </c>
      <c r="J11" s="14">
        <f>SUM('Plant Inputs'!K23,'Plant Inputs'!K29,'Plant Inputs'!K35)</f>
        <v>364560.0</v>
      </c>
      <c r="K11" s="14">
        <f>SUM('Plant Inputs'!L23,'Plant Inputs'!L29,'Plant Inputs'!L35)</f>
        <v>298749.0</v>
      </c>
      <c r="L11" s="14">
        <f>SUM('Plant Inputs'!M23,'Plant Inputs'!M29,'Plant Inputs'!M35)</f>
        <v>297580.0</v>
      </c>
      <c r="M11" s="14">
        <f>SUM('Plant Inputs'!N23,'Plant Inputs'!N29,'Plant Inputs'!N35)</f>
        <v>289027.0</v>
      </c>
      <c r="N11" s="14">
        <f>SUM('Plant Inputs'!O23,'Plant Inputs'!O29,'Plant Inputs'!O35)</f>
        <v>311387.0</v>
      </c>
      <c r="O11" s="14">
        <f>SUM('Plant Inputs'!P23,'Plant Inputs'!P29,'Plant Inputs'!P35)</f>
        <v>59227.0</v>
      </c>
      <c r="P11" s="14">
        <f>SUM('Plant Inputs'!Q23,'Plant Inputs'!Q29,'Plant Inputs'!Q35)</f>
        <v>51247.0</v>
      </c>
      <c r="Q11" s="14">
        <f>SUM('Plant Inputs'!R23,'Plant Inputs'!R29,'Plant Inputs'!R35)</f>
        <v>12208.0</v>
      </c>
      <c r="R11" s="14">
        <f>SUM('Plant Inputs'!S23,'Plant Inputs'!S29,'Plant Inputs'!S35)</f>
        <v>9.0</v>
      </c>
      <c r="S11" s="14">
        <f>SUM('Plant Inputs'!T23,'Plant Inputs'!T29,'Plant Inputs'!T35)</f>
        <v>55.00000000000001</v>
      </c>
      <c r="T11" s="14">
        <f>SUM('Plant Inputs'!U23,'Plant Inputs'!U29,'Plant Inputs'!U35)</f>
        <v>129.0</v>
      </c>
      <c r="U11" s="14">
        <f>SUM('Plant Inputs'!V23,'Plant Inputs'!V29,'Plant Inputs'!V35)</f>
        <v>124.0</v>
      </c>
      <c r="V11" s="14">
        <f>SUM('Plant Inputs'!W23,'Plant Inputs'!W29,'Plant Inputs'!W35)</f>
        <v>853640.3</v>
      </c>
      <c r="W11" s="14">
        <f>SUM('Plant Inputs'!X23,'Plant Inputs'!X29,'Plant Inputs'!X35)</f>
        <v>226229.59999999998</v>
      </c>
      <c r="X11" s="14">
        <f>SUM('Plant Inputs'!Y23,'Plant Inputs'!Y29,'Plant Inputs'!Y35)</f>
        <v>4436.7</v>
      </c>
      <c r="Y11" s="14">
        <f>SUM('Plant Inputs'!Z23,'Plant Inputs'!Z29,'Plant Inputs'!Z35)</f>
        <v>579740.0</v>
      </c>
      <c r="Z11" s="14">
        <f>SUM('Plant Inputs'!AA23,'Plant Inputs'!AA29,'Plant Inputs'!AA35)</f>
        <v>193553.0</v>
      </c>
      <c r="AA11" s="14">
        <f>SUM('Plant Inputs'!AB23,'Plant Inputs'!AB29,'Plant Inputs'!AB35)</f>
        <v>871968.0</v>
      </c>
      <c r="AB11" s="14">
        <f>SUM('Plant Inputs'!AC23,'Plant Inputs'!AC29,'Plant Inputs'!AC35)</f>
        <v>12058.0</v>
      </c>
      <c r="AC11" s="14">
        <f>SUM('Plant Inputs'!AD23,'Plant Inputs'!AD29,'Plant Inputs'!AD35)</f>
        <v>0.0</v>
      </c>
      <c r="AD11" s="14">
        <f>SUM('Plant Inputs'!AE23,'Plant Inputs'!AE29,'Plant Inputs'!AE35)</f>
        <v>216000.0</v>
      </c>
      <c r="AE11" s="14">
        <f>SUM('Plant Inputs'!AF23,'Plant Inputs'!AF29,'Plant Inputs'!AF35)</f>
        <v>2.0</v>
      </c>
      <c r="AF11" s="14">
        <f>SUM('Plant Inputs'!AG23,'Plant Inputs'!AG29,'Plant Inputs'!AG35)</f>
        <v>1.0</v>
      </c>
      <c r="AG11" s="14">
        <f>SUM('Plant Inputs'!AH23,'Plant Inputs'!AH29,'Plant Inputs'!AH35)</f>
        <v>28.0</v>
      </c>
      <c r="AH11" s="14">
        <f>SUM('Plant Inputs'!AI23,'Plant Inputs'!AI29,'Plant Inputs'!AI35)</f>
        <v>1.0</v>
      </c>
      <c r="AI11" s="14">
        <f>SUM('Plant Inputs'!AJ23,'Plant Inputs'!AJ29,'Plant Inputs'!AJ35)</f>
        <v>0.0</v>
      </c>
      <c r="AJ11" s="14">
        <f>SUM('Plant Inputs'!AK23,'Plant Inputs'!AK29,'Plant Inputs'!AK35)</f>
        <v>0.0</v>
      </c>
      <c r="AK11" s="14">
        <f>SUM('Plant Inputs'!AL23,'Plant Inputs'!AL29,'Plant Inputs'!AL35)</f>
        <v>32.0</v>
      </c>
      <c r="AL11" s="14">
        <f>SUM('Plant Inputs'!AM23,'Plant Inputs'!AM29,'Plant Inputs'!AM35)</f>
        <v>9.0</v>
      </c>
      <c r="AM11" s="14">
        <f>SUM('Plant Inputs'!AN23,'Plant Inputs'!AN29,'Plant Inputs'!AN35)</f>
        <v>5.0</v>
      </c>
      <c r="AN11" s="14">
        <f>SUM('Plant Inputs'!AO23,'Plant Inputs'!AO29,'Plant Inputs'!AO35)</f>
        <v>5.0</v>
      </c>
      <c r="AO11" s="14">
        <f>SUM('Plant Inputs'!AP23,'Plant Inputs'!AP29,'Plant Inputs'!AP35)</f>
        <v>3.0</v>
      </c>
      <c r="AP11" s="14">
        <f>SUM('Plant Inputs'!AQ23,'Plant Inputs'!AQ29,'Plant Inputs'!AQ35)</f>
        <v>476.0</v>
      </c>
      <c r="AQ11" s="14">
        <f>SUM('Plant Inputs'!AR23,'Plant Inputs'!AR29,'Plant Inputs'!AR35)</f>
        <v>39.0</v>
      </c>
      <c r="AR11" s="14">
        <f>MIN('Plant Inputs'!AS23,'Plant Inputs'!AS29,'Plant Inputs'!AS35)</f>
        <v>222</v>
      </c>
      <c r="AS11" s="14">
        <f>SUM('Plant Inputs'!AT23,'Plant Inputs'!AT29,'Plant Inputs'!AT35)</f>
        <v>289034.0</v>
      </c>
      <c r="AT11" s="14">
        <f>SUM('Plant Inputs'!AU23,'Plant Inputs'!AU29,'Plant Inputs'!AU35)</f>
        <v>299716.0</v>
      </c>
      <c r="AU11" s="14">
        <f>SUM('Plant Inputs'!AV23,'Plant Inputs'!AV29,'Plant Inputs'!AV35)</f>
        <v>1092931.1</v>
      </c>
      <c r="AV11" s="14">
        <f>SUM('Plant Inputs'!AW23,'Plant Inputs'!AW29,'Plant Inputs'!AW35)</f>
        <v>1126932.2</v>
      </c>
      <c r="AW11" s="14">
        <f>SUM('Plant Inputs'!AX23,'Plant Inputs'!AX29,'Plant Inputs'!AX35)</f>
        <v>53998.3</v>
      </c>
      <c r="AX11" s="14">
        <f>SUM('Plant Inputs'!AY23,'Plant Inputs'!AY29,'Plant Inputs'!AY35)</f>
        <v>41823.3</v>
      </c>
      <c r="AY11" s="14">
        <f>SUM('Plant Inputs'!AZ23,'Plant Inputs'!AZ29,'Plant Inputs'!AZ35)</f>
        <v>705.0</v>
      </c>
      <c r="AZ11" s="14">
        <f>SUM('Plant Inputs'!BA23,'Plant Inputs'!BA29,'Plant Inputs'!BA35)</f>
        <v>661.0</v>
      </c>
      <c r="BA11" s="14">
        <f>SUM('Plant Inputs'!BB23,'Plant Inputs'!BB29,'Plant Inputs'!BB35)</f>
        <v>305152.0</v>
      </c>
      <c r="BB11" s="14">
        <f>SUM('Plant Inputs'!BC23,'Plant Inputs'!BC29,'Plant Inputs'!BC35)</f>
        <v>288534.0</v>
      </c>
      <c r="BC11" s="14">
        <f>SUM('Plant Inputs'!BD23,'Plant Inputs'!BD29,'Plant Inputs'!BD35)</f>
        <v>3041.0</v>
      </c>
      <c r="BD11" s="14">
        <f>SUM('Plant Inputs'!BE23,'Plant Inputs'!BE29,'Plant Inputs'!BE35)</f>
        <v>2114.0</v>
      </c>
      <c r="BE11" s="14">
        <f>SUM('Plant Inputs'!BF23,'Plant Inputs'!BF29,'Plant Inputs'!BF35)</f>
        <v>2169.0</v>
      </c>
      <c r="BF11" s="14">
        <f>SUM('Plant Inputs'!BG23,'Plant Inputs'!BG29,'Plant Inputs'!BG35)</f>
        <v>491776.3</v>
      </c>
      <c r="BG11" s="14">
        <f>SUM('Plant Inputs'!BH23,'Plant Inputs'!BH29,'Plant Inputs'!BH35)</f>
        <v>160204.2</v>
      </c>
      <c r="BH11" s="14">
        <f>SUM('Plant Inputs'!BI23,'Plant Inputs'!BI29,'Plant Inputs'!BI35)</f>
        <v>0.0</v>
      </c>
      <c r="BI11" s="14">
        <f>SUM('Plant Inputs'!BJ23,'Plant Inputs'!BJ29,'Plant Inputs'!BJ35)</f>
        <v>1.0</v>
      </c>
      <c r="BJ11" s="14">
        <f>SUM('Plant Inputs'!BK23,'Plant Inputs'!BK29,'Plant Inputs'!BK35)</f>
        <v>0.0</v>
      </c>
      <c r="BK11" s="14">
        <f>SUM('Plant Inputs'!BL23,'Plant Inputs'!BL29,'Plant Inputs'!BL35)</f>
        <v>0.0</v>
      </c>
      <c r="BL11" s="14">
        <f>SUM('Plant Inputs'!BM23,'Plant Inputs'!BM29,'Plant Inputs'!BM35)</f>
        <v>1.0</v>
      </c>
      <c r="BM11" s="14">
        <f>SUM('Plant Inputs'!BN23,'Plant Inputs'!BN29,'Plant Inputs'!BN35)</f>
        <v>0.0</v>
      </c>
      <c r="BN11" s="14">
        <f>SUM('Plant Inputs'!BO23,'Plant Inputs'!BO29,'Plant Inputs'!BO35)</f>
        <v>1.0</v>
      </c>
      <c r="BO11" s="14">
        <f>SUM('Plant Inputs'!BP23,'Plant Inputs'!BP29,'Plant Inputs'!BP35)</f>
        <v>0.0</v>
      </c>
      <c r="BP11" s="14">
        <f>SUM('Plant Inputs'!BQ23,'Plant Inputs'!BQ29,'Plant Inputs'!BQ35)</f>
        <v>0.0</v>
      </c>
      <c r="BQ11" s="14">
        <f>SUM('Plant Inputs'!BR23,'Plant Inputs'!BR29,'Plant Inputs'!BR35)</f>
        <v>0.0</v>
      </c>
      <c r="BR11" s="14">
        <f>SUM('Plant Inputs'!BS23,'Plant Inputs'!BS29,'Plant Inputs'!BS35)</f>
        <v>0.0</v>
      </c>
      <c r="BS11" s="14">
        <f>MIN('Plant Inputs'!BT23,'Plant Inputs'!BT29,'Plant Inputs'!BT35)</f>
        <v>99</v>
      </c>
      <c r="BT11" s="14">
        <f>SUM('Plant Inputs'!BU23,'Plant Inputs'!BU29,'Plant Inputs'!BU35)</f>
        <v>298956.0</v>
      </c>
      <c r="BU11" s="14">
        <f>SUM('Plant Inputs'!BV23,'Plant Inputs'!BV29,'Plant Inputs'!BV35)</f>
        <v>301271.0</v>
      </c>
      <c r="BV11" s="14">
        <f>SUM('Plant Inputs'!BW23,'Plant Inputs'!BW29,'Plant Inputs'!BW35)</f>
        <v>113484506.0</v>
      </c>
      <c r="BW11" s="14">
        <f>SUM('Plant Inputs'!BX23,'Plant Inputs'!BX29,'Plant Inputs'!BX35)</f>
        <v>339769.0</v>
      </c>
      <c r="BX11" s="14">
        <f>SUM('Plant Inputs'!BY23,'Plant Inputs'!BY29,'Plant Inputs'!BY35)</f>
        <v>12450.0</v>
      </c>
      <c r="BY11" s="16">
        <v>50050.4</v>
      </c>
      <c r="BZ11" s="16">
        <v>40075</v>
      </c>
      <c r="CA11" s="16">
        <v>10040000</v>
      </c>
      <c r="CB11" s="16">
        <v>4257934.5</v>
      </c>
      <c r="CC11" s="16">
        <v>1089934.5</v>
      </c>
      <c r="CD11" s="16">
        <v>435228.2</v>
      </c>
      <c r="CE11" s="16">
        <v>33264</v>
      </c>
      <c r="CF11" s="16">
        <v>438317.9</v>
      </c>
      <c r="CG11" s="16">
        <v>1192536.2</v>
      </c>
      <c r="CH11" s="16">
        <v>184420.1</v>
      </c>
      <c r="CI11" s="16">
        <v>1082983.6</v>
      </c>
      <c r="CJ11" s="16">
        <v>1563623.2</v>
      </c>
      <c r="CK11" s="16">
        <v>1768166.1</v>
      </c>
      <c r="CL11" s="16">
        <v>1004411.8</v>
      </c>
      <c r="CM11" s="16">
        <v>1072786</v>
      </c>
      <c r="CN11" s="16">
        <v>2852.3</v>
      </c>
      <c r="CO11" s="16">
        <v>74102.89999999999</v>
      </c>
      <c r="CP11" s="16">
        <v>74102.89999999999</v>
      </c>
      <c r="CQ11" s="16">
        <v>352</v>
      </c>
      <c r="CR11" s="16">
        <v>15761</v>
      </c>
      <c r="CS11" s="16">
        <v>15840</v>
      </c>
      <c r="CT11" s="16">
        <v>1</v>
      </c>
      <c r="CU11" s="16">
        <v>1097997.4</v>
      </c>
      <c r="CV11" s="16">
        <v>1112277.8</v>
      </c>
      <c r="CW11" s="16">
        <v>184653.8</v>
      </c>
      <c r="CX11" s="16">
        <v>3151290.2</v>
      </c>
      <c r="CY11" s="16">
        <v>2164395</v>
      </c>
      <c r="CZ11" s="16">
        <v>313040.6</v>
      </c>
      <c r="DA11" s="16">
        <v>229961.2</v>
      </c>
      <c r="DB11" s="16">
        <v>256509</v>
      </c>
      <c r="DC11" s="16">
        <v>181113.8</v>
      </c>
      <c r="DD11" s="16">
        <v>4017.3</v>
      </c>
      <c r="DE11" s="16">
        <v>4281.1</v>
      </c>
      <c r="DF11" s="16">
        <v>1785518</v>
      </c>
      <c r="DG11" s="16">
        <v>1091259.8</v>
      </c>
      <c r="DH11" s="16">
        <v>860000</v>
      </c>
      <c r="DI11" s="16">
        <v>432467.4</v>
      </c>
      <c r="DJ11" s="16">
        <v>69889.8</v>
      </c>
      <c r="DK11" s="16">
        <v>369800</v>
      </c>
      <c r="DL11" s="16">
        <v>136303.5</v>
      </c>
      <c r="DM11" s="16">
        <v>4</v>
      </c>
      <c r="DN11" s="16">
        <v>1</v>
      </c>
      <c r="DO11" s="16">
        <v>0</v>
      </c>
      <c r="DP11" s="16">
        <v>0</v>
      </c>
      <c r="DQ11" s="16">
        <v>4</v>
      </c>
      <c r="DR11" s="16">
        <v>5</v>
      </c>
      <c r="DS11" s="16">
        <v>10</v>
      </c>
      <c r="DT11" s="16">
        <v>4</v>
      </c>
      <c r="DU11" s="16">
        <v>2</v>
      </c>
      <c r="DV11" s="16">
        <v>64</v>
      </c>
      <c r="DW11" s="16">
        <v>22</v>
      </c>
      <c r="DX11" s="16">
        <v>9302.1</v>
      </c>
      <c r="DY11" s="16">
        <v>3474.3</v>
      </c>
      <c r="DZ11" s="16">
        <v>1389.1</v>
      </c>
      <c r="EA11" s="16">
        <v>1046.6</v>
      </c>
      <c r="EB11" s="16">
        <v>1244.6</v>
      </c>
      <c r="EC11" s="16">
        <v>68</v>
      </c>
      <c r="ED11" s="16">
        <v>65</v>
      </c>
      <c r="EE11" s="16">
        <v>3</v>
      </c>
      <c r="EF11" s="16">
        <v>1</v>
      </c>
      <c r="EG11" s="16">
        <v>1</v>
      </c>
      <c r="EH11" s="16">
        <v>0</v>
      </c>
      <c r="EI11" s="16">
        <v>0</v>
      </c>
      <c r="EJ11" s="16">
        <v>1</v>
      </c>
      <c r="EK11" s="16">
        <v>1</v>
      </c>
      <c r="EL11" s="16">
        <v>0</v>
      </c>
      <c r="EM11" s="16">
        <v>0</v>
      </c>
      <c r="EN11" s="16">
        <v>0</v>
      </c>
      <c r="EO11" s="16">
        <v>0</v>
      </c>
      <c r="EP11" s="16">
        <v>0</v>
      </c>
      <c r="EQ11" s="16">
        <v>2</v>
      </c>
      <c r="ER11" s="16">
        <v>1</v>
      </c>
      <c r="ES11" s="16">
        <v>0</v>
      </c>
      <c r="ET11" s="16">
        <v>0</v>
      </c>
      <c r="EU11" s="16">
        <v>5</v>
      </c>
      <c r="EV11" s="16">
        <v>0</v>
      </c>
      <c r="EW11" s="16">
        <v>1</v>
      </c>
      <c r="EX11" s="16">
        <v>1</v>
      </c>
      <c r="EY11" s="16">
        <v>58</v>
      </c>
      <c r="EZ11" s="16">
        <v>52</v>
      </c>
      <c r="FA11" s="16">
        <v>1</v>
      </c>
      <c r="FB11" s="16">
        <v>37</v>
      </c>
      <c r="FC11" s="16">
        <v>28</v>
      </c>
      <c r="FD11" s="16">
        <v>24</v>
      </c>
      <c r="FE11" s="16">
        <v>26</v>
      </c>
      <c r="FF11" s="16">
        <v>1</v>
      </c>
      <c r="FG11" s="16">
        <v>0</v>
      </c>
      <c r="FH11" s="16">
        <v>0</v>
      </c>
      <c r="FI11" s="16">
        <v>481373</v>
      </c>
      <c r="FJ11" s="16">
        <v>478757</v>
      </c>
      <c r="FK11" s="16">
        <v>420</v>
      </c>
      <c r="FL11" s="16">
        <v>411</v>
      </c>
      <c r="FM11" s="16">
        <v>0</v>
      </c>
      <c r="FN11" s="16">
        <v>0</v>
      </c>
      <c r="FO11" s="16">
        <v>0</v>
      </c>
      <c r="FP11" s="16">
        <v>4</v>
      </c>
      <c r="FQ11" s="16">
        <v>7.7</v>
      </c>
      <c r="FR11" s="16">
        <v>7</v>
      </c>
      <c r="FS11" s="16">
        <v>1</v>
      </c>
      <c r="FT11" s="16">
        <v>1</v>
      </c>
      <c r="FU11" s="16">
        <v>1</v>
      </c>
    </row>
    <row r="12" spans="1:177">
      <c r="A12" t="s">
        <v>15</v>
      </c>
      <c r="B12" t="s">
        <v>180</v>
      </c>
      <c r="C12" t="s">
        <v>174</v>
      </c>
      <c r="D12">
        <v>30</v>
      </c>
      <c r="E12" s="14">
        <f>SUM('Plant Inputs'!F24,'Plant Inputs'!F30,'Plant Inputs'!F36)</f>
        <v>2160.0</v>
      </c>
      <c r="F12" s="14">
        <f>SUM('Plant Inputs'!G24,'Plant Inputs'!G30,'Plant Inputs'!G36)</f>
        <v>2138.0</v>
      </c>
      <c r="G12" s="14">
        <f>SUM('Plant Inputs'!H24,'Plant Inputs'!H30,'Plant Inputs'!H36)</f>
        <v>2039.6</v>
      </c>
      <c r="H12" s="14">
        <f>SUM('Plant Inputs'!I24,'Plant Inputs'!I30,'Plant Inputs'!I36)</f>
        <v>56.300000000000004</v>
      </c>
      <c r="I12" s="14">
        <f>SUM('Plant Inputs'!J24,'Plant Inputs'!J30,'Plant Inputs'!J36)</f>
        <v>349149.0</v>
      </c>
      <c r="J12" s="14">
        <f>SUM('Plant Inputs'!K24,'Plant Inputs'!K30,'Plant Inputs'!K36)</f>
        <v>352800.0</v>
      </c>
      <c r="K12" s="14">
        <f>SUM('Plant Inputs'!L24,'Plant Inputs'!L30,'Plant Inputs'!L36)</f>
        <v>314779.0</v>
      </c>
      <c r="L12" s="14">
        <f>SUM('Plant Inputs'!M24,'Plant Inputs'!M30,'Plant Inputs'!M36)</f>
        <v>302431.0</v>
      </c>
      <c r="M12" s="14">
        <f>SUM('Plant Inputs'!N24,'Plant Inputs'!N30,'Plant Inputs'!N36)</f>
        <v>295990.0</v>
      </c>
      <c r="N12" s="14">
        <f>SUM('Plant Inputs'!O24,'Plant Inputs'!O30,'Plant Inputs'!O36)</f>
        <v>329850.0</v>
      </c>
      <c r="O12" s="14">
        <f>SUM('Plant Inputs'!P24,'Plant Inputs'!P30,'Plant Inputs'!P36)</f>
        <v>61561.0</v>
      </c>
      <c r="P12" s="14">
        <f>SUM('Plant Inputs'!Q24,'Plant Inputs'!Q30,'Plant Inputs'!Q36)</f>
        <v>54925.0</v>
      </c>
      <c r="Q12" s="14">
        <f>SUM('Plant Inputs'!R24,'Plant Inputs'!R30,'Plant Inputs'!R36)</f>
        <v>8558.0</v>
      </c>
      <c r="R12" s="14">
        <f>SUM('Plant Inputs'!S24,'Plant Inputs'!S30,'Plant Inputs'!S36)</f>
        <v>7.0</v>
      </c>
      <c r="S12" s="14">
        <f>SUM('Plant Inputs'!T24,'Plant Inputs'!T30,'Plant Inputs'!T36)</f>
        <v>41.4</v>
      </c>
      <c r="T12" s="14">
        <f>SUM('Plant Inputs'!U24,'Plant Inputs'!U30,'Plant Inputs'!U36)</f>
        <v>129.0</v>
      </c>
      <c r="U12" s="14">
        <f>SUM('Plant Inputs'!V24,'Plant Inputs'!V30,'Plant Inputs'!V36)</f>
        <v>125.0</v>
      </c>
      <c r="V12" s="14">
        <f>SUM('Plant Inputs'!W24,'Plant Inputs'!W30,'Plant Inputs'!W36)</f>
        <v>950150.4</v>
      </c>
      <c r="W12" s="14">
        <f>SUM('Plant Inputs'!X24,'Plant Inputs'!X30,'Plant Inputs'!X36)</f>
        <v>274625.0</v>
      </c>
      <c r="X12" s="14">
        <f>SUM('Plant Inputs'!Y24,'Plant Inputs'!Y30,'Plant Inputs'!Y36)</f>
        <v>3325.2</v>
      </c>
      <c r="Y12" s="14">
        <f>SUM('Plant Inputs'!Z24,'Plant Inputs'!Z30,'Plant Inputs'!Z36)</f>
        <v>622878.0</v>
      </c>
      <c r="Z12" s="14">
        <f>SUM('Plant Inputs'!AA24,'Plant Inputs'!AA30,'Plant Inputs'!AA36)</f>
        <v>185948.0</v>
      </c>
      <c r="AA12" s="14">
        <f>SUM('Plant Inputs'!AB24,'Plant Inputs'!AB30,'Plant Inputs'!AB36)</f>
        <v>962186.0</v>
      </c>
      <c r="AB12" s="14">
        <f>SUM('Plant Inputs'!AC24,'Plant Inputs'!AC30,'Plant Inputs'!AC36)</f>
        <v>22567.0</v>
      </c>
      <c r="AC12" s="14">
        <f>SUM('Plant Inputs'!AD24,'Plant Inputs'!AD30,'Plant Inputs'!AD36)</f>
        <v>4.0</v>
      </c>
      <c r="AD12" s="14">
        <f>SUM('Plant Inputs'!AE24,'Plant Inputs'!AE30,'Plant Inputs'!AE36)</f>
        <v>218000.0</v>
      </c>
      <c r="AE12" s="14">
        <f>SUM('Plant Inputs'!AF24,'Plant Inputs'!AF30,'Plant Inputs'!AF36)</f>
        <v>2.0</v>
      </c>
      <c r="AF12" s="14">
        <f>SUM('Plant Inputs'!AG24,'Plant Inputs'!AG30,'Plant Inputs'!AG36)</f>
        <v>0.0</v>
      </c>
      <c r="AG12" s="14">
        <f>SUM('Plant Inputs'!AH24,'Plant Inputs'!AH30,'Plant Inputs'!AH36)</f>
        <v>22.0</v>
      </c>
      <c r="AH12" s="14">
        <f>SUM('Plant Inputs'!AI24,'Plant Inputs'!AI30,'Plant Inputs'!AI36)</f>
        <v>0.0</v>
      </c>
      <c r="AI12" s="14">
        <f>SUM('Plant Inputs'!AJ24,'Plant Inputs'!AJ30,'Plant Inputs'!AJ36)</f>
        <v>0.0</v>
      </c>
      <c r="AJ12" s="14">
        <f>SUM('Plant Inputs'!AK24,'Plant Inputs'!AK30,'Plant Inputs'!AK36)</f>
        <v>1.0</v>
      </c>
      <c r="AK12" s="14">
        <f>SUM('Plant Inputs'!AL24,'Plant Inputs'!AL30,'Plant Inputs'!AL36)</f>
        <v>22.0</v>
      </c>
      <c r="AL12" s="14">
        <f>SUM('Plant Inputs'!AM24,'Plant Inputs'!AM30,'Plant Inputs'!AM36)</f>
        <v>4.0</v>
      </c>
      <c r="AM12" s="14">
        <f>SUM('Plant Inputs'!AN24,'Plant Inputs'!AN30,'Plant Inputs'!AN36)</f>
        <v>5.0</v>
      </c>
      <c r="AN12" s="14">
        <f>SUM('Plant Inputs'!AO24,'Plant Inputs'!AO30,'Plant Inputs'!AO36)</f>
        <v>5.0</v>
      </c>
      <c r="AO12" s="14">
        <f>SUM('Plant Inputs'!AP24,'Plant Inputs'!AP30,'Plant Inputs'!AP36)</f>
        <v>0.0</v>
      </c>
      <c r="AP12" s="14">
        <f>SUM('Plant Inputs'!AQ24,'Plant Inputs'!AQ30,'Plant Inputs'!AQ36)</f>
        <v>586.0</v>
      </c>
      <c r="AQ12" s="14">
        <f>SUM('Plant Inputs'!AR24,'Plant Inputs'!AR30,'Plant Inputs'!AR36)</f>
        <v>38.0</v>
      </c>
      <c r="AR12" s="14">
        <f>MIN('Plant Inputs'!AS24,'Plant Inputs'!AS30,'Plant Inputs'!AS36)</f>
        <v>192</v>
      </c>
      <c r="AS12" s="14">
        <f>SUM('Plant Inputs'!AT24,'Plant Inputs'!AT30,'Plant Inputs'!AT36)</f>
        <v>294252.0</v>
      </c>
      <c r="AT12" s="14">
        <f>SUM('Plant Inputs'!AU24,'Plant Inputs'!AU30,'Plant Inputs'!AU36)</f>
        <v>314725.0</v>
      </c>
      <c r="AU12" s="14">
        <f>SUM('Plant Inputs'!AV24,'Plant Inputs'!AV30,'Plant Inputs'!AV36)</f>
        <v>1112707.1</v>
      </c>
      <c r="AV12" s="14">
        <f>SUM('Plant Inputs'!AW24,'Plant Inputs'!AW30,'Plant Inputs'!AW36)</f>
        <v>1183366.0</v>
      </c>
      <c r="AW12" s="14">
        <f>SUM('Plant Inputs'!AX24,'Plant Inputs'!AX30,'Plant Inputs'!AX36)</f>
        <v>59914.700000000004</v>
      </c>
      <c r="AX12" s="14">
        <f>SUM('Plant Inputs'!AY24,'Plant Inputs'!AY30,'Plant Inputs'!AY36)</f>
        <v>41923.1</v>
      </c>
      <c r="AY12" s="14">
        <f>SUM('Plant Inputs'!AZ24,'Plant Inputs'!AZ30,'Plant Inputs'!AZ36)</f>
        <v>744.0</v>
      </c>
      <c r="AZ12" s="14">
        <f>SUM('Plant Inputs'!BA24,'Plant Inputs'!BA30,'Plant Inputs'!BA36)</f>
        <v>695.0</v>
      </c>
      <c r="BA12" s="14">
        <f>SUM('Plant Inputs'!BB24,'Plant Inputs'!BB30,'Plant Inputs'!BB36)</f>
        <v>326646.0</v>
      </c>
      <c r="BB12" s="14">
        <f>SUM('Plant Inputs'!BC24,'Plant Inputs'!BC30,'Plant Inputs'!BC36)</f>
        <v>317196.0</v>
      </c>
      <c r="BC12" s="14">
        <f>SUM('Plant Inputs'!BD24,'Plant Inputs'!BD30,'Plant Inputs'!BD36)</f>
        <v>2391.0</v>
      </c>
      <c r="BD12" s="14">
        <f>SUM('Plant Inputs'!BE24,'Plant Inputs'!BE30,'Plant Inputs'!BE36)</f>
        <v>2338.0</v>
      </c>
      <c r="BE12" s="14">
        <f>SUM('Plant Inputs'!BF24,'Plant Inputs'!BF30,'Plant Inputs'!BF36)</f>
        <v>2395.0</v>
      </c>
      <c r="BF12" s="14">
        <f>SUM('Plant Inputs'!BG24,'Plant Inputs'!BG30,'Plant Inputs'!BG36)</f>
        <v>528902.5</v>
      </c>
      <c r="BG12" s="14">
        <f>SUM('Plant Inputs'!BH24,'Plant Inputs'!BH30,'Plant Inputs'!BH36)</f>
        <v>192862.40000000002</v>
      </c>
      <c r="BH12" s="14">
        <f>SUM('Plant Inputs'!BI24,'Plant Inputs'!BI30,'Plant Inputs'!BI36)</f>
        <v>0.0</v>
      </c>
      <c r="BI12" s="14">
        <f>SUM('Plant Inputs'!BJ24,'Plant Inputs'!BJ30,'Plant Inputs'!BJ36)</f>
        <v>1.0</v>
      </c>
      <c r="BJ12" s="14">
        <f>SUM('Plant Inputs'!BK24,'Plant Inputs'!BK30,'Plant Inputs'!BK36)</f>
        <v>2.0</v>
      </c>
      <c r="BK12" s="14">
        <f>SUM('Plant Inputs'!BL24,'Plant Inputs'!BL30,'Plant Inputs'!BL36)</f>
        <v>1.0</v>
      </c>
      <c r="BL12" s="14">
        <f>SUM('Plant Inputs'!BM24,'Plant Inputs'!BM30,'Plant Inputs'!BM36)</f>
        <v>2.0</v>
      </c>
      <c r="BM12" s="14">
        <f>SUM('Plant Inputs'!BN24,'Plant Inputs'!BN30,'Plant Inputs'!BN36)</f>
        <v>0.0</v>
      </c>
      <c r="BN12" s="14">
        <f>SUM('Plant Inputs'!BO24,'Plant Inputs'!BO30,'Plant Inputs'!BO36)</f>
        <v>0.0</v>
      </c>
      <c r="BO12" s="14">
        <f>SUM('Plant Inputs'!BP24,'Plant Inputs'!BP30,'Plant Inputs'!BP36)</f>
        <v>0.0</v>
      </c>
      <c r="BP12" s="14">
        <f>SUM('Plant Inputs'!BQ24,'Plant Inputs'!BQ30,'Plant Inputs'!BQ36)</f>
        <v>0.0</v>
      </c>
      <c r="BQ12" s="14">
        <f>SUM('Plant Inputs'!BR24,'Plant Inputs'!BR30,'Plant Inputs'!BR36)</f>
        <v>0.0</v>
      </c>
      <c r="BR12" s="14">
        <f>SUM('Plant Inputs'!BS24,'Plant Inputs'!BS30,'Plant Inputs'!BS36)</f>
        <v>0.0</v>
      </c>
      <c r="BS12" s="14">
        <f>MIN('Plant Inputs'!BT24,'Plant Inputs'!BT30,'Plant Inputs'!BT36)</f>
        <v>99</v>
      </c>
      <c r="BT12" s="14">
        <f>SUM('Plant Inputs'!BU24,'Plant Inputs'!BU30,'Plant Inputs'!BU36)</f>
        <v>317800.0</v>
      </c>
      <c r="BU12" s="14">
        <f>SUM('Plant Inputs'!BV24,'Plant Inputs'!BV30,'Plant Inputs'!BV36)</f>
        <v>320156.0</v>
      </c>
      <c r="BV12" s="14">
        <f>SUM('Plant Inputs'!BW24,'Plant Inputs'!BW30,'Plant Inputs'!BW36)</f>
        <v>124863591.0</v>
      </c>
      <c r="BW12" s="14">
        <f>SUM('Plant Inputs'!BX24,'Plant Inputs'!BX30,'Plant Inputs'!BX36)</f>
        <v>349149.0</v>
      </c>
      <c r="BX12" s="14">
        <f>SUM('Plant Inputs'!BY24,'Plant Inputs'!BY30,'Plant Inputs'!BY36)</f>
        <v>7660.0</v>
      </c>
      <c r="BY12" s="16">
        <v>51654.7</v>
      </c>
      <c r="BZ12" s="16">
        <v>22449.1</v>
      </c>
      <c r="CA12" s="16">
        <v>10080000</v>
      </c>
      <c r="CB12" s="16">
        <v>4211021.8</v>
      </c>
      <c r="CC12" s="16">
        <v>1075021.8</v>
      </c>
      <c r="CD12" s="16">
        <v>436315.8</v>
      </c>
      <c r="CE12" s="16">
        <v>32928</v>
      </c>
      <c r="CF12" s="16">
        <v>405014</v>
      </c>
      <c r="CG12" s="16">
        <v>1190070.9</v>
      </c>
      <c r="CH12" s="16">
        <v>107481.4</v>
      </c>
      <c r="CI12" s="16">
        <v>1119343.6</v>
      </c>
      <c r="CJ12" s="16">
        <v>1665189.5</v>
      </c>
      <c r="CK12" s="16">
        <v>2023734.9</v>
      </c>
      <c r="CL12" s="16">
        <v>1155573.9</v>
      </c>
      <c r="CM12" s="16">
        <v>1086928.3</v>
      </c>
      <c r="CN12" s="16">
        <v>3048.7</v>
      </c>
      <c r="CO12" s="16">
        <v>78617.10000000001</v>
      </c>
      <c r="CP12" s="16">
        <v>78617.10000000001</v>
      </c>
      <c r="CQ12" s="16">
        <v>333</v>
      </c>
      <c r="CR12" s="16">
        <v>15098</v>
      </c>
      <c r="CS12" s="16">
        <v>14985</v>
      </c>
      <c r="CT12" s="16">
        <v>0</v>
      </c>
      <c r="CU12" s="16">
        <v>640845.8</v>
      </c>
      <c r="CV12" s="16">
        <v>647178.6</v>
      </c>
      <c r="CW12" s="16">
        <v>92062</v>
      </c>
      <c r="CX12" s="16">
        <v>3085667.3</v>
      </c>
      <c r="CY12" s="16">
        <v>1265494.8</v>
      </c>
      <c r="CZ12" s="16">
        <v>287638.8</v>
      </c>
      <c r="DA12" s="16">
        <v>211841.6</v>
      </c>
      <c r="DB12" s="16">
        <v>231613.6</v>
      </c>
      <c r="DC12" s="16">
        <v>171021.1</v>
      </c>
      <c r="DD12" s="16">
        <v>3471.9</v>
      </c>
      <c r="DE12" s="16">
        <v>3774.8</v>
      </c>
      <c r="DF12" s="16">
        <v>1772808</v>
      </c>
      <c r="DG12" s="16">
        <v>1085587.8</v>
      </c>
      <c r="DH12" s="16">
        <v>860000</v>
      </c>
      <c r="DI12" s="16">
        <v>476244.8</v>
      </c>
      <c r="DJ12" s="16">
        <v>70024</v>
      </c>
      <c r="DK12" s="16">
        <v>412800</v>
      </c>
      <c r="DL12" s="16">
        <v>130334.1</v>
      </c>
      <c r="DM12" s="16">
        <v>4</v>
      </c>
      <c r="DN12" s="16">
        <v>1</v>
      </c>
      <c r="DO12" s="16">
        <v>0</v>
      </c>
      <c r="DP12" s="16">
        <v>0</v>
      </c>
      <c r="DQ12" s="16">
        <v>7</v>
      </c>
      <c r="DR12" s="16">
        <v>10</v>
      </c>
      <c r="DS12" s="16">
        <v>10</v>
      </c>
      <c r="DT12" s="16">
        <v>4</v>
      </c>
      <c r="DU12" s="16">
        <v>2</v>
      </c>
      <c r="DV12" s="16">
        <v>64</v>
      </c>
      <c r="DW12" s="16">
        <v>25</v>
      </c>
      <c r="DX12" s="16">
        <v>8998.700000000001</v>
      </c>
      <c r="DY12" s="16">
        <v>3287.2</v>
      </c>
      <c r="DZ12" s="16">
        <v>1313.6</v>
      </c>
      <c r="EA12" s="16">
        <v>1018</v>
      </c>
      <c r="EB12" s="16">
        <v>1229.3</v>
      </c>
      <c r="EC12" s="16">
        <v>68</v>
      </c>
      <c r="ED12" s="16">
        <v>66</v>
      </c>
      <c r="EE12" s="16">
        <v>2</v>
      </c>
      <c r="EF12" s="16">
        <v>0</v>
      </c>
      <c r="EG12" s="16">
        <v>1</v>
      </c>
      <c r="EH12" s="16">
        <v>0</v>
      </c>
      <c r="EI12" s="16">
        <v>0</v>
      </c>
      <c r="EJ12" s="16">
        <v>0</v>
      </c>
      <c r="EK12" s="16">
        <v>0</v>
      </c>
      <c r="EL12" s="16">
        <v>0</v>
      </c>
      <c r="EM12" s="16">
        <v>0</v>
      </c>
      <c r="EN12" s="16">
        <v>1</v>
      </c>
      <c r="EO12" s="16">
        <v>0</v>
      </c>
      <c r="EP12" s="16">
        <v>0</v>
      </c>
      <c r="EQ12" s="16">
        <v>1</v>
      </c>
      <c r="ER12" s="16">
        <v>0</v>
      </c>
      <c r="ES12" s="16">
        <v>0</v>
      </c>
      <c r="ET12" s="16">
        <v>0</v>
      </c>
      <c r="EU12" s="16">
        <v>6</v>
      </c>
      <c r="EV12" s="16">
        <v>0</v>
      </c>
      <c r="EW12" s="16">
        <v>1</v>
      </c>
      <c r="EX12" s="16">
        <v>1</v>
      </c>
      <c r="EY12" s="16">
        <v>58</v>
      </c>
      <c r="EZ12" s="16">
        <v>52</v>
      </c>
      <c r="FA12" s="16">
        <v>3</v>
      </c>
      <c r="FB12" s="16">
        <v>115</v>
      </c>
      <c r="FC12" s="16">
        <v>28</v>
      </c>
      <c r="FD12" s="16">
        <v>24</v>
      </c>
      <c r="FE12" s="16">
        <v>26</v>
      </c>
      <c r="FF12" s="16">
        <v>1</v>
      </c>
      <c r="FG12" s="16">
        <v>0</v>
      </c>
      <c r="FH12" s="16">
        <v>0</v>
      </c>
      <c r="FI12" s="16">
        <v>499474</v>
      </c>
      <c r="FJ12" s="16">
        <v>495766</v>
      </c>
      <c r="FK12" s="16">
        <v>420</v>
      </c>
      <c r="FL12" s="16">
        <v>413</v>
      </c>
      <c r="FM12" s="16">
        <v>0</v>
      </c>
      <c r="FN12" s="16">
        <v>0</v>
      </c>
      <c r="FO12" s="16">
        <v>0</v>
      </c>
      <c r="FP12" s="16">
        <v>4</v>
      </c>
      <c r="FQ12" s="16">
        <v>7.8</v>
      </c>
      <c r="FR12" s="16">
        <v>7</v>
      </c>
      <c r="FS12" s="16">
        <v>0</v>
      </c>
      <c r="FT12" s="16">
        <v>0</v>
      </c>
      <c r="FU12" s="16">
        <v>-1</v>
      </c>
    </row>
    <row r="13" spans="1:177">
      <c r="A13" t="s">
        <v>15</v>
      </c>
      <c r="B13" t="s">
        <v>180</v>
      </c>
      <c r="C13" t="s">
        <v>175</v>
      </c>
      <c r="D13">
        <v>31</v>
      </c>
      <c r="E13" s="14">
        <f>SUM('Plant Inputs'!F25,'Plant Inputs'!F31,'Plant Inputs'!F37)</f>
        <v>2232.0</v>
      </c>
      <c r="F13" s="14">
        <f>SUM('Plant Inputs'!G25,'Plant Inputs'!G31,'Plant Inputs'!G37)</f>
        <v>2223.0</v>
      </c>
      <c r="G13" s="14">
        <f>SUM('Plant Inputs'!H25,'Plant Inputs'!H31,'Plant Inputs'!H37)</f>
        <v>2123.3</v>
      </c>
      <c r="H13" s="14">
        <f>SUM('Plant Inputs'!I25,'Plant Inputs'!I31,'Plant Inputs'!I37)</f>
        <v>58.2</v>
      </c>
      <c r="I13" s="14">
        <f>SUM('Plant Inputs'!J25,'Plant Inputs'!J31,'Plant Inputs'!J37)</f>
        <v>363231.0</v>
      </c>
      <c r="J13" s="14">
        <f>SUM('Plant Inputs'!K25,'Plant Inputs'!K31,'Plant Inputs'!K37)</f>
        <v>364560.0</v>
      </c>
      <c r="K13" s="14">
        <f>SUM('Plant Inputs'!L25,'Plant Inputs'!L31,'Plant Inputs'!L37)</f>
        <v>324403.0</v>
      </c>
      <c r="L13" s="14">
        <f>SUM('Plant Inputs'!M25,'Plant Inputs'!M31,'Plant Inputs'!M37)</f>
        <v>325601.0</v>
      </c>
      <c r="M13" s="14">
        <f>SUM('Plant Inputs'!N25,'Plant Inputs'!N31,'Plant Inputs'!N37)</f>
        <v>315635.0</v>
      </c>
      <c r="N13" s="14">
        <f>SUM('Plant Inputs'!O25,'Plant Inputs'!O31,'Plant Inputs'!O37)</f>
        <v>339387.0</v>
      </c>
      <c r="O13" s="14">
        <f>SUM('Plant Inputs'!P25,'Plant Inputs'!P31,'Plant Inputs'!P37)</f>
        <v>68718.0</v>
      </c>
      <c r="P13" s="14">
        <f>SUM('Plant Inputs'!Q25,'Plant Inputs'!Q31,'Plant Inputs'!Q37)</f>
        <v>59602.0</v>
      </c>
      <c r="Q13" s="14">
        <f>SUM('Plant Inputs'!R25,'Plant Inputs'!R31,'Plant Inputs'!R37)</f>
        <v>9130.0</v>
      </c>
      <c r="R13" s="14">
        <f>SUM('Plant Inputs'!S25,'Plant Inputs'!S31,'Plant Inputs'!S37)</f>
        <v>8.0</v>
      </c>
      <c r="S13" s="14">
        <f>SUM('Plant Inputs'!T25,'Plant Inputs'!T31,'Plant Inputs'!T37)</f>
        <v>38.3</v>
      </c>
      <c r="T13" s="14">
        <f>SUM('Plant Inputs'!U25,'Plant Inputs'!U31,'Plant Inputs'!U37)</f>
        <v>140.0</v>
      </c>
      <c r="U13" s="14">
        <f>SUM('Plant Inputs'!V25,'Plant Inputs'!V31,'Plant Inputs'!V37)</f>
        <v>135.0</v>
      </c>
      <c r="V13" s="14">
        <f>SUM('Plant Inputs'!W25,'Plant Inputs'!W31,'Plant Inputs'!W37)</f>
        <v>1017013.0</v>
      </c>
      <c r="W13" s="14">
        <f>SUM('Plant Inputs'!X25,'Plant Inputs'!X31,'Plant Inputs'!X37)</f>
        <v>313616.8</v>
      </c>
      <c r="X13" s="14">
        <f>SUM('Plant Inputs'!Y25,'Plant Inputs'!Y31,'Plant Inputs'!Y37)</f>
        <v>3815.6</v>
      </c>
      <c r="Y13" s="14">
        <f>SUM('Plant Inputs'!Z25,'Plant Inputs'!Z31,'Plant Inputs'!Z37)</f>
        <v>660802.0</v>
      </c>
      <c r="Z13" s="14">
        <f>SUM('Plant Inputs'!AA25,'Plant Inputs'!AA31,'Plant Inputs'!AA37)</f>
        <v>207095.0</v>
      </c>
      <c r="AA13" s="14">
        <f>SUM('Plant Inputs'!AB25,'Plant Inputs'!AB31,'Plant Inputs'!AB37)</f>
        <v>1004084.0</v>
      </c>
      <c r="AB13" s="14">
        <f>SUM('Plant Inputs'!AC25,'Plant Inputs'!AC31,'Plant Inputs'!AC37)</f>
        <v>8120.0</v>
      </c>
      <c r="AC13" s="14">
        <f>SUM('Plant Inputs'!AD25,'Plant Inputs'!AD31,'Plant Inputs'!AD37)</f>
        <v>1.0</v>
      </c>
      <c r="AD13" s="14">
        <f>SUM('Plant Inputs'!AE25,'Plant Inputs'!AE31,'Plant Inputs'!AE37)</f>
        <v>213000.0</v>
      </c>
      <c r="AE13" s="14">
        <f>SUM('Plant Inputs'!AF25,'Plant Inputs'!AF31,'Plant Inputs'!AF37)</f>
        <v>1.0</v>
      </c>
      <c r="AF13" s="14">
        <f>SUM('Plant Inputs'!AG25,'Plant Inputs'!AG31,'Plant Inputs'!AG37)</f>
        <v>1.0</v>
      </c>
      <c r="AG13" s="14">
        <f>SUM('Plant Inputs'!AH25,'Plant Inputs'!AH31,'Plant Inputs'!AH37)</f>
        <v>13.0</v>
      </c>
      <c r="AH13" s="14">
        <f>SUM('Plant Inputs'!AI25,'Plant Inputs'!AI31,'Plant Inputs'!AI37)</f>
        <v>0.0</v>
      </c>
      <c r="AI13" s="14">
        <f>SUM('Plant Inputs'!AJ25,'Plant Inputs'!AJ31,'Plant Inputs'!AJ37)</f>
        <v>1.0</v>
      </c>
      <c r="AJ13" s="14">
        <f>SUM('Plant Inputs'!AK25,'Plant Inputs'!AK31,'Plant Inputs'!AK37)</f>
        <v>0.0</v>
      </c>
      <c r="AK13" s="14">
        <f>SUM('Plant Inputs'!AL25,'Plant Inputs'!AL31,'Plant Inputs'!AL37)</f>
        <v>36.0</v>
      </c>
      <c r="AL13" s="14">
        <f>SUM('Plant Inputs'!AM25,'Plant Inputs'!AM31,'Plant Inputs'!AM37)</f>
        <v>7.0</v>
      </c>
      <c r="AM13" s="14">
        <f>SUM('Plant Inputs'!AN25,'Plant Inputs'!AN31,'Plant Inputs'!AN37)</f>
        <v>3.0</v>
      </c>
      <c r="AN13" s="14">
        <f>SUM('Plant Inputs'!AO25,'Plant Inputs'!AO31,'Plant Inputs'!AO37)</f>
        <v>2.0</v>
      </c>
      <c r="AO13" s="14">
        <f>SUM('Plant Inputs'!AP25,'Plant Inputs'!AP31,'Plant Inputs'!AP37)</f>
        <v>4.0</v>
      </c>
      <c r="AP13" s="14">
        <f>SUM('Plant Inputs'!AQ25,'Plant Inputs'!AQ31,'Plant Inputs'!AQ37)</f>
        <v>504.0</v>
      </c>
      <c r="AQ13" s="14">
        <f>SUM('Plant Inputs'!AR25,'Plant Inputs'!AR31,'Plant Inputs'!AR37)</f>
        <v>42.0</v>
      </c>
      <c r="AR13" s="14">
        <f>MIN('Plant Inputs'!AS25,'Plant Inputs'!AS31,'Plant Inputs'!AS37)</f>
        <v>162</v>
      </c>
      <c r="AS13" s="14">
        <f>SUM('Plant Inputs'!AT25,'Plant Inputs'!AT31,'Plant Inputs'!AT37)</f>
        <v>317425.0</v>
      </c>
      <c r="AT13" s="14">
        <f>SUM('Plant Inputs'!AU25,'Plant Inputs'!AU31,'Plant Inputs'!AU37)</f>
        <v>323314.0</v>
      </c>
      <c r="AU13" s="14">
        <f>SUM('Plant Inputs'!AV25,'Plant Inputs'!AV31,'Plant Inputs'!AV37)</f>
        <v>1195016.4</v>
      </c>
      <c r="AV13" s="14">
        <f>SUM('Plant Inputs'!AW25,'Plant Inputs'!AW31,'Plant Inputs'!AW37)</f>
        <v>1215660.6</v>
      </c>
      <c r="AW13" s="14">
        <f>SUM('Plant Inputs'!AX25,'Plant Inputs'!AX31,'Plant Inputs'!AX37)</f>
        <v>57438.4</v>
      </c>
      <c r="AX13" s="14">
        <f>SUM('Plant Inputs'!AY25,'Plant Inputs'!AY31,'Plant Inputs'!AY37)</f>
        <v>41574.100000000006</v>
      </c>
      <c r="AY13" s="14">
        <f>SUM('Plant Inputs'!AZ25,'Plant Inputs'!AZ31,'Plant Inputs'!AZ37)</f>
        <v>721.0</v>
      </c>
      <c r="AZ13" s="14">
        <f>SUM('Plant Inputs'!BA25,'Plant Inputs'!BA31,'Plant Inputs'!BA37)</f>
        <v>672.0</v>
      </c>
      <c r="BA13" s="14">
        <f>SUM('Plant Inputs'!BB25,'Plant Inputs'!BB31,'Plant Inputs'!BB37)</f>
        <v>332167.0</v>
      </c>
      <c r="BB13" s="14">
        <f>SUM('Plant Inputs'!BC25,'Plant Inputs'!BC31,'Plant Inputs'!BC37)</f>
        <v>319103.0</v>
      </c>
      <c r="BC13" s="14">
        <f>SUM('Plant Inputs'!BD25,'Plant Inputs'!BD31,'Plant Inputs'!BD37)</f>
        <v>2057.0</v>
      </c>
      <c r="BD13" s="14">
        <f>SUM('Plant Inputs'!BE25,'Plant Inputs'!BE31,'Plant Inputs'!BE37)</f>
        <v>3066.0</v>
      </c>
      <c r="BE13" s="14">
        <f>SUM('Plant Inputs'!BF25,'Plant Inputs'!BF31,'Plant Inputs'!BF37)</f>
        <v>3047.0</v>
      </c>
      <c r="BF13" s="14">
        <f>SUM('Plant Inputs'!BG25,'Plant Inputs'!BG31,'Plant Inputs'!BG37)</f>
        <v>558920.2</v>
      </c>
      <c r="BG13" s="14">
        <f>SUM('Plant Inputs'!BH25,'Plant Inputs'!BH31,'Plant Inputs'!BH37)</f>
        <v>192011.4</v>
      </c>
      <c r="BH13" s="14">
        <f>SUM('Plant Inputs'!BI25,'Plant Inputs'!BI31,'Plant Inputs'!BI37)</f>
        <v>0.0</v>
      </c>
      <c r="BI13" s="14">
        <f>SUM('Plant Inputs'!BJ25,'Plant Inputs'!BJ31,'Plant Inputs'!BJ37)</f>
        <v>1.0</v>
      </c>
      <c r="BJ13" s="14">
        <f>SUM('Plant Inputs'!BK25,'Plant Inputs'!BK31,'Plant Inputs'!BK37)</f>
        <v>2.0</v>
      </c>
      <c r="BK13" s="14">
        <f>SUM('Plant Inputs'!BL25,'Plant Inputs'!BL31,'Plant Inputs'!BL37)</f>
        <v>1.0</v>
      </c>
      <c r="BL13" s="14">
        <f>SUM('Plant Inputs'!BM25,'Plant Inputs'!BM31,'Plant Inputs'!BM37)</f>
        <v>3.0</v>
      </c>
      <c r="BM13" s="14">
        <f>SUM('Plant Inputs'!BN25,'Plant Inputs'!BN31,'Plant Inputs'!BN37)</f>
        <v>0.0</v>
      </c>
      <c r="BN13" s="14">
        <f>SUM('Plant Inputs'!BO25,'Plant Inputs'!BO31,'Plant Inputs'!BO37)</f>
        <v>0.0</v>
      </c>
      <c r="BO13" s="14">
        <f>SUM('Plant Inputs'!BP25,'Plant Inputs'!BP31,'Plant Inputs'!BP37)</f>
        <v>0.0</v>
      </c>
      <c r="BP13" s="14">
        <f>SUM('Plant Inputs'!BQ25,'Plant Inputs'!BQ31,'Plant Inputs'!BQ37)</f>
        <v>0.0</v>
      </c>
      <c r="BQ13" s="14">
        <f>SUM('Plant Inputs'!BR25,'Plant Inputs'!BR31,'Plant Inputs'!BR37)</f>
        <v>0.0</v>
      </c>
      <c r="BR13" s="14">
        <f>SUM('Plant Inputs'!BS25,'Plant Inputs'!BS31,'Plant Inputs'!BS37)</f>
        <v>0.0</v>
      </c>
      <c r="BS13" s="14">
        <f>MIN('Plant Inputs'!BT25,'Plant Inputs'!BT31,'Plant Inputs'!BT37)</f>
        <v>99</v>
      </c>
      <c r="BT13" s="14">
        <f>SUM('Plant Inputs'!BU25,'Plant Inputs'!BU31,'Plant Inputs'!BU37)</f>
        <v>328436.0</v>
      </c>
      <c r="BU13" s="14">
        <f>SUM('Plant Inputs'!BV25,'Plant Inputs'!BV31,'Plant Inputs'!BV37)</f>
        <v>330842.0</v>
      </c>
      <c r="BV13" s="14">
        <f>SUM('Plant Inputs'!BW25,'Plant Inputs'!BW31,'Plant Inputs'!BW37)</f>
        <v>133923883.0</v>
      </c>
      <c r="BW13" s="14">
        <f>SUM('Plant Inputs'!BX25,'Plant Inputs'!BX31,'Plant Inputs'!BX37)</f>
        <v>363231.0</v>
      </c>
      <c r="BX13" s="14">
        <f>SUM('Plant Inputs'!BY25,'Plant Inputs'!BY31,'Plant Inputs'!BY37)</f>
        <v>9042.0</v>
      </c>
      <c r="BY13" s="16">
        <v>54610.5</v>
      </c>
      <c r="BZ13" s="16">
        <v>23755.2</v>
      </c>
      <c r="CA13" s="16">
        <v>10120000</v>
      </c>
      <c r="CB13" s="16">
        <v>4323104.5</v>
      </c>
      <c r="CC13" s="16">
        <v>1219104.5</v>
      </c>
      <c r="CD13" s="16">
        <v>442574.4</v>
      </c>
      <c r="CE13" s="16">
        <v>32592</v>
      </c>
      <c r="CF13" s="16">
        <v>425574.5</v>
      </c>
      <c r="CG13" s="16">
        <v>1293891.3</v>
      </c>
      <c r="CH13" s="16">
        <v>119814.6</v>
      </c>
      <c r="CI13" s="16">
        <v>1202019.5</v>
      </c>
      <c r="CJ13" s="16">
        <v>1734551.6</v>
      </c>
      <c r="CK13" s="16">
        <v>2055982.4</v>
      </c>
      <c r="CL13" s="16">
        <v>1122026.2</v>
      </c>
      <c r="CM13" s="16">
        <v>1161124.7</v>
      </c>
      <c r="CN13" s="16">
        <v>2912.2</v>
      </c>
      <c r="CO13" s="16">
        <v>78725.2</v>
      </c>
      <c r="CP13" s="16">
        <v>78725.2</v>
      </c>
      <c r="CQ13" s="16">
        <v>342</v>
      </c>
      <c r="CR13" s="16">
        <v>15474</v>
      </c>
      <c r="CS13" s="16">
        <v>15390</v>
      </c>
      <c r="CT13" s="16">
        <v>1</v>
      </c>
      <c r="CU13" s="16">
        <v>714775.5</v>
      </c>
      <c r="CV13" s="16">
        <v>718721.9</v>
      </c>
      <c r="CW13" s="16">
        <v>139958.6</v>
      </c>
      <c r="CX13" s="16">
        <v>3047312.3</v>
      </c>
      <c r="CY13" s="16">
        <v>1412231.8</v>
      </c>
      <c r="CZ13" s="16">
        <v>347025.2</v>
      </c>
      <c r="DA13" s="16">
        <v>242148.9</v>
      </c>
      <c r="DB13" s="16">
        <v>284119.2</v>
      </c>
      <c r="DC13" s="16">
        <v>199411</v>
      </c>
      <c r="DD13" s="16">
        <v>6393</v>
      </c>
      <c r="DE13" s="16">
        <v>6859.8</v>
      </c>
      <c r="DF13" s="16">
        <v>1997749.7</v>
      </c>
      <c r="DG13" s="16">
        <v>1170469.4</v>
      </c>
      <c r="DH13" s="16">
        <v>860000</v>
      </c>
      <c r="DI13" s="16">
        <v>526173.4</v>
      </c>
      <c r="DJ13" s="16">
        <v>66726.89999999999</v>
      </c>
      <c r="DK13" s="16">
        <v>455800</v>
      </c>
      <c r="DL13" s="16">
        <v>129811.4</v>
      </c>
      <c r="DM13" s="16">
        <v>4</v>
      </c>
      <c r="DN13" s="16">
        <v>1</v>
      </c>
      <c r="DO13" s="16">
        <v>0</v>
      </c>
      <c r="DP13" s="16">
        <v>1</v>
      </c>
      <c r="DQ13" s="16">
        <v>4</v>
      </c>
      <c r="DR13" s="16">
        <v>4</v>
      </c>
      <c r="DS13" s="16">
        <v>10</v>
      </c>
      <c r="DT13" s="16">
        <v>4</v>
      </c>
      <c r="DU13" s="16">
        <v>2</v>
      </c>
      <c r="DV13" s="16">
        <v>64</v>
      </c>
      <c r="DW13" s="16">
        <v>28</v>
      </c>
      <c r="DX13" s="16">
        <v>9318.700000000001</v>
      </c>
      <c r="DY13" s="16">
        <v>3457.6</v>
      </c>
      <c r="DZ13" s="16">
        <v>1294.6</v>
      </c>
      <c r="EA13" s="16">
        <v>1069.1</v>
      </c>
      <c r="EB13" s="16">
        <v>1220.3</v>
      </c>
      <c r="EC13" s="16">
        <v>68</v>
      </c>
      <c r="ED13" s="16">
        <v>65</v>
      </c>
      <c r="EE13" s="16">
        <v>3</v>
      </c>
      <c r="EF13" s="16">
        <v>1</v>
      </c>
      <c r="EG13" s="16">
        <v>1</v>
      </c>
      <c r="EH13" s="16">
        <v>0</v>
      </c>
      <c r="EI13" s="16">
        <v>0</v>
      </c>
      <c r="EJ13" s="16">
        <v>1</v>
      </c>
      <c r="EK13" s="16">
        <v>1</v>
      </c>
      <c r="EL13" s="16">
        <v>1</v>
      </c>
      <c r="EM13" s="16">
        <v>0</v>
      </c>
      <c r="EN13" s="16">
        <v>0</v>
      </c>
      <c r="EO13" s="16">
        <v>0</v>
      </c>
      <c r="EP13" s="16">
        <v>0</v>
      </c>
      <c r="EQ13" s="16">
        <v>0</v>
      </c>
      <c r="ER13" s="16">
        <v>0</v>
      </c>
      <c r="ES13" s="16">
        <v>0</v>
      </c>
      <c r="ET13" s="16">
        <v>0</v>
      </c>
      <c r="EU13" s="16">
        <v>5</v>
      </c>
      <c r="EV13" s="16">
        <v>0</v>
      </c>
      <c r="EW13" s="16">
        <v>1</v>
      </c>
      <c r="EX13" s="16">
        <v>1</v>
      </c>
      <c r="EY13" s="16">
        <v>58</v>
      </c>
      <c r="EZ13" s="16">
        <v>53</v>
      </c>
      <c r="FA13" s="16">
        <v>1</v>
      </c>
      <c r="FB13" s="16">
        <v>36</v>
      </c>
      <c r="FC13" s="16">
        <v>28</v>
      </c>
      <c r="FD13" s="16">
        <v>24</v>
      </c>
      <c r="FE13" s="16">
        <v>26</v>
      </c>
      <c r="FF13" s="16">
        <v>1</v>
      </c>
      <c r="FG13" s="16">
        <v>0</v>
      </c>
      <c r="FH13" s="16">
        <v>0</v>
      </c>
      <c r="FI13" s="16">
        <v>512122</v>
      </c>
      <c r="FJ13" s="16">
        <v>506494</v>
      </c>
      <c r="FK13" s="16">
        <v>420</v>
      </c>
      <c r="FL13" s="16">
        <v>415</v>
      </c>
      <c r="FM13" s="16">
        <v>0</v>
      </c>
      <c r="FN13" s="16">
        <v>0</v>
      </c>
      <c r="FO13" s="16">
        <v>0</v>
      </c>
      <c r="FP13" s="16">
        <v>4</v>
      </c>
      <c r="FQ13" s="16">
        <v>8.5</v>
      </c>
      <c r="FR13" s="16">
        <v>8</v>
      </c>
      <c r="FS13" s="16">
        <v>1</v>
      </c>
      <c r="FT13" s="16">
        <v>1</v>
      </c>
      <c r="FU13" s="16">
        <v>1</v>
      </c>
    </row>
    <row r="14" spans="1:177">
      <c r="A14" t="s">
        <v>15</v>
      </c>
      <c r="B14" t="s">
        <v>180</v>
      </c>
      <c r="C14" t="s">
        <v>176</v>
      </c>
      <c r="D14">
        <v>31</v>
      </c>
      <c r="E14" s="14">
        <f>SUM('Plant Inputs'!F26,'Plant Inputs'!F32,'Plant Inputs'!F38)</f>
        <v>2232.0</v>
      </c>
      <c r="F14" s="14">
        <f>SUM('Plant Inputs'!G26,'Plant Inputs'!G32,'Plant Inputs'!G38)</f>
        <v>2118.0</v>
      </c>
      <c r="G14" s="14">
        <f>SUM('Plant Inputs'!H26,'Plant Inputs'!H32,'Plant Inputs'!H38)</f>
        <v>1996.0</v>
      </c>
      <c r="H14" s="14">
        <f>SUM('Plant Inputs'!I26,'Plant Inputs'!I32,'Plant Inputs'!I38)</f>
        <v>67.8</v>
      </c>
      <c r="I14" s="14">
        <f>SUM('Plant Inputs'!J26,'Plant Inputs'!J32,'Plant Inputs'!J38)</f>
        <v>346273.0</v>
      </c>
      <c r="J14" s="14">
        <f>SUM('Plant Inputs'!K26,'Plant Inputs'!K32,'Plant Inputs'!K38)</f>
        <v>364560.0</v>
      </c>
      <c r="K14" s="14">
        <f>SUM('Plant Inputs'!L26,'Plant Inputs'!L32,'Plant Inputs'!L38)</f>
        <v>308736.0</v>
      </c>
      <c r="L14" s="14">
        <f>SUM('Plant Inputs'!M26,'Plant Inputs'!M32,'Plant Inputs'!M38)</f>
        <v>304282.0</v>
      </c>
      <c r="M14" s="14">
        <f>SUM('Plant Inputs'!N26,'Plant Inputs'!N32,'Plant Inputs'!N38)</f>
        <v>298516.0</v>
      </c>
      <c r="N14" s="14">
        <f>SUM('Plant Inputs'!O26,'Plant Inputs'!O32,'Plant Inputs'!O38)</f>
        <v>328057.0</v>
      </c>
      <c r="O14" s="14">
        <f>SUM('Plant Inputs'!P26,'Plant Inputs'!P32,'Plant Inputs'!P38)</f>
        <v>75322.0</v>
      </c>
      <c r="P14" s="14">
        <f>SUM('Plant Inputs'!Q26,'Plant Inputs'!Q32,'Plant Inputs'!Q38)</f>
        <v>67860.0</v>
      </c>
      <c r="Q14" s="14">
        <f>SUM('Plant Inputs'!R26,'Plant Inputs'!R32,'Plant Inputs'!R38)</f>
        <v>12064.0</v>
      </c>
      <c r="R14" s="14">
        <f>SUM('Plant Inputs'!S26,'Plant Inputs'!S32,'Plant Inputs'!S38)</f>
        <v>9.0</v>
      </c>
      <c r="S14" s="14">
        <f>SUM('Plant Inputs'!T26,'Plant Inputs'!T32,'Plant Inputs'!T38)</f>
        <v>49.400000000000006</v>
      </c>
      <c r="T14" s="14">
        <f>SUM('Plant Inputs'!U26,'Plant Inputs'!U32,'Plant Inputs'!U38)</f>
        <v>118.0</v>
      </c>
      <c r="U14" s="14">
        <f>SUM('Plant Inputs'!V26,'Plant Inputs'!V32,'Plant Inputs'!V38)</f>
        <v>117.0</v>
      </c>
      <c r="V14" s="14">
        <f>SUM('Plant Inputs'!W26,'Plant Inputs'!W32,'Plant Inputs'!W38)</f>
        <v>940259.2000000001</v>
      </c>
      <c r="W14" s="14">
        <f>SUM('Plant Inputs'!X26,'Plant Inputs'!X32,'Plant Inputs'!X38)</f>
        <v>246610.1</v>
      </c>
      <c r="X14" s="14">
        <f>SUM('Plant Inputs'!Y26,'Plant Inputs'!Y32,'Plant Inputs'!Y38)</f>
        <v>4191.1</v>
      </c>
      <c r="Y14" s="14">
        <f>SUM('Plant Inputs'!Z26,'Plant Inputs'!Z32,'Plant Inputs'!Z38)</f>
        <v>690325.0</v>
      </c>
      <c r="Z14" s="14">
        <f>SUM('Plant Inputs'!AA26,'Plant Inputs'!AA32,'Plant Inputs'!AA38)</f>
        <v>193997.0</v>
      </c>
      <c r="AA14" s="14">
        <f>SUM('Plant Inputs'!AB26,'Plant Inputs'!AB32,'Plant Inputs'!AB38)</f>
        <v>1024647.0</v>
      </c>
      <c r="AB14" s="14">
        <f>SUM('Plant Inputs'!AC26,'Plant Inputs'!AC32,'Plant Inputs'!AC38)</f>
        <v>6633.0</v>
      </c>
      <c r="AC14" s="14">
        <f>SUM('Plant Inputs'!AD26,'Plant Inputs'!AD32,'Plant Inputs'!AD38)</f>
        <v>4.0</v>
      </c>
      <c r="AD14" s="14">
        <f>SUM('Plant Inputs'!AE26,'Plant Inputs'!AE32,'Plant Inputs'!AE38)</f>
        <v>195000.0</v>
      </c>
      <c r="AE14" s="14">
        <f>SUM('Plant Inputs'!AF26,'Plant Inputs'!AF32,'Plant Inputs'!AF38)</f>
        <v>1.0</v>
      </c>
      <c r="AF14" s="14">
        <f>SUM('Plant Inputs'!AG26,'Plant Inputs'!AG32,'Plant Inputs'!AG38)</f>
        <v>0.0</v>
      </c>
      <c r="AG14" s="14">
        <f>SUM('Plant Inputs'!AH26,'Plant Inputs'!AH32,'Plant Inputs'!AH38)</f>
        <v>23.0</v>
      </c>
      <c r="AH14" s="14">
        <f>SUM('Plant Inputs'!AI26,'Plant Inputs'!AI32,'Plant Inputs'!AI38)</f>
        <v>0.0</v>
      </c>
      <c r="AI14" s="14">
        <f>SUM('Plant Inputs'!AJ26,'Plant Inputs'!AJ32,'Plant Inputs'!AJ38)</f>
        <v>1.0</v>
      </c>
      <c r="AJ14" s="14">
        <f>SUM('Plant Inputs'!AK26,'Plant Inputs'!AK32,'Plant Inputs'!AK38)</f>
        <v>0.0</v>
      </c>
      <c r="AK14" s="14">
        <f>SUM('Plant Inputs'!AL26,'Plant Inputs'!AL32,'Plant Inputs'!AL38)</f>
        <v>26.0</v>
      </c>
      <c r="AL14" s="14">
        <f>SUM('Plant Inputs'!AM26,'Plant Inputs'!AM32,'Plant Inputs'!AM38)</f>
        <v>2.0</v>
      </c>
      <c r="AM14" s="14">
        <f>SUM('Plant Inputs'!AN26,'Plant Inputs'!AN32,'Plant Inputs'!AN38)</f>
        <v>8.0</v>
      </c>
      <c r="AN14" s="14">
        <f>SUM('Plant Inputs'!AO26,'Plant Inputs'!AO32,'Plant Inputs'!AO38)</f>
        <v>8.0</v>
      </c>
      <c r="AO14" s="14">
        <f>SUM('Plant Inputs'!AP26,'Plant Inputs'!AP32,'Plant Inputs'!AP38)</f>
        <v>3.0</v>
      </c>
      <c r="AP14" s="14">
        <f>SUM('Plant Inputs'!AQ26,'Plant Inputs'!AQ32,'Plant Inputs'!AQ38)</f>
        <v>619.0</v>
      </c>
      <c r="AQ14" s="14">
        <f>SUM('Plant Inputs'!AR26,'Plant Inputs'!AR32,'Plant Inputs'!AR38)</f>
        <v>36.0</v>
      </c>
      <c r="AR14" s="14">
        <f>MIN('Plant Inputs'!AS26,'Plant Inputs'!AS32,'Plant Inputs'!AS38)</f>
        <v>132</v>
      </c>
      <c r="AS14" s="14">
        <f>SUM('Plant Inputs'!AT26,'Plant Inputs'!AT32,'Plant Inputs'!AT38)</f>
        <v>295880.0</v>
      </c>
      <c r="AT14" s="14">
        <f>SUM('Plant Inputs'!AU26,'Plant Inputs'!AU32,'Plant Inputs'!AU38)</f>
        <v>306815.0</v>
      </c>
      <c r="AU14" s="14">
        <f>SUM('Plant Inputs'!AV26,'Plant Inputs'!AV32,'Plant Inputs'!AV38)</f>
        <v>1105023.8</v>
      </c>
      <c r="AV14" s="14">
        <f>SUM('Plant Inputs'!AW26,'Plant Inputs'!AW32,'Plant Inputs'!AW38)</f>
        <v>1153624.3</v>
      </c>
      <c r="AW14" s="14">
        <f>SUM('Plant Inputs'!AX26,'Plant Inputs'!AX32,'Plant Inputs'!AX38)</f>
        <v>53026.2</v>
      </c>
      <c r="AX14" s="14">
        <f>SUM('Plant Inputs'!AY26,'Plant Inputs'!AY32,'Plant Inputs'!AY38)</f>
        <v>41345.5</v>
      </c>
      <c r="AY14" s="14">
        <f>SUM('Plant Inputs'!AZ26,'Plant Inputs'!AZ32,'Plant Inputs'!AZ38)</f>
        <v>706.0</v>
      </c>
      <c r="AZ14" s="14">
        <f>SUM('Plant Inputs'!BA26,'Plant Inputs'!BA32,'Plant Inputs'!BA38)</f>
        <v>657.0</v>
      </c>
      <c r="BA14" s="14">
        <f>SUM('Plant Inputs'!BB26,'Plant Inputs'!BB32,'Plant Inputs'!BB38)</f>
        <v>332643.0</v>
      </c>
      <c r="BB14" s="14">
        <f>SUM('Plant Inputs'!BC26,'Plant Inputs'!BC32,'Plant Inputs'!BC38)</f>
        <v>322473.0</v>
      </c>
      <c r="BC14" s="14">
        <f>SUM('Plant Inputs'!BD26,'Plant Inputs'!BD32,'Plant Inputs'!BD38)</f>
        <v>3419.0</v>
      </c>
      <c r="BD14" s="14">
        <f>SUM('Plant Inputs'!BE26,'Plant Inputs'!BE32,'Plant Inputs'!BE38)</f>
        <v>2534.0</v>
      </c>
      <c r="BE14" s="14">
        <f>SUM('Plant Inputs'!BF26,'Plant Inputs'!BF32,'Plant Inputs'!BF38)</f>
        <v>2536.0</v>
      </c>
      <c r="BF14" s="14">
        <f>SUM('Plant Inputs'!BG26,'Plant Inputs'!BG32,'Plant Inputs'!BG38)</f>
        <v>498432.80000000005</v>
      </c>
      <c r="BG14" s="14">
        <f>SUM('Plant Inputs'!BH26,'Plant Inputs'!BH32,'Plant Inputs'!BH38)</f>
        <v>172867.0</v>
      </c>
      <c r="BH14" s="14">
        <f>SUM('Plant Inputs'!BI26,'Plant Inputs'!BI32,'Plant Inputs'!BI38)</f>
        <v>0.0</v>
      </c>
      <c r="BI14" s="14">
        <f>SUM('Plant Inputs'!BJ26,'Plant Inputs'!BJ32,'Plant Inputs'!BJ38)</f>
        <v>0.0</v>
      </c>
      <c r="BJ14" s="14">
        <f>SUM('Plant Inputs'!BK26,'Plant Inputs'!BK32,'Plant Inputs'!BK38)</f>
        <v>0.0</v>
      </c>
      <c r="BK14" s="14">
        <f>SUM('Plant Inputs'!BL26,'Plant Inputs'!BL32,'Plant Inputs'!BL38)</f>
        <v>1.0</v>
      </c>
      <c r="BL14" s="14">
        <f>SUM('Plant Inputs'!BM26,'Plant Inputs'!BM32,'Plant Inputs'!BM38)</f>
        <v>2.0</v>
      </c>
      <c r="BM14" s="14">
        <f>SUM('Plant Inputs'!BN26,'Plant Inputs'!BN32,'Plant Inputs'!BN38)</f>
        <v>0.0</v>
      </c>
      <c r="BN14" s="14">
        <f>SUM('Plant Inputs'!BO26,'Plant Inputs'!BO32,'Plant Inputs'!BO38)</f>
        <v>1.0</v>
      </c>
      <c r="BO14" s="14">
        <f>SUM('Plant Inputs'!BP26,'Plant Inputs'!BP32,'Plant Inputs'!BP38)</f>
        <v>0.0</v>
      </c>
      <c r="BP14" s="14">
        <f>SUM('Plant Inputs'!BQ26,'Plant Inputs'!BQ32,'Plant Inputs'!BQ38)</f>
        <v>0.0</v>
      </c>
      <c r="BQ14" s="14">
        <f>SUM('Plant Inputs'!BR26,'Plant Inputs'!BR32,'Plant Inputs'!BR38)</f>
        <v>0.0</v>
      </c>
      <c r="BR14" s="14">
        <f>SUM('Plant Inputs'!BS26,'Plant Inputs'!BS32,'Plant Inputs'!BS38)</f>
        <v>0.0</v>
      </c>
      <c r="BS14" s="14">
        <f>MIN('Plant Inputs'!BT26,'Plant Inputs'!BT32,'Plant Inputs'!BT38)</f>
        <v>99</v>
      </c>
      <c r="BT14" s="14">
        <f>SUM('Plant Inputs'!BU26,'Plant Inputs'!BU32,'Plant Inputs'!BU38)</f>
        <v>308700.0</v>
      </c>
      <c r="BU14" s="14">
        <f>SUM('Plant Inputs'!BV26,'Plant Inputs'!BV32,'Plant Inputs'!BV38)</f>
        <v>311333.0</v>
      </c>
      <c r="BV14" s="14">
        <f>SUM('Plant Inputs'!BW26,'Plant Inputs'!BW32,'Plant Inputs'!BW38)</f>
        <v>131228667.0</v>
      </c>
      <c r="BW14" s="14">
        <f>SUM('Plant Inputs'!BX26,'Plant Inputs'!BX32,'Plant Inputs'!BX38)</f>
        <v>346273.0</v>
      </c>
      <c r="BX14" s="14">
        <f>SUM('Plant Inputs'!BY26,'Plant Inputs'!BY32,'Plant Inputs'!BY38)</f>
        <v>11769.0</v>
      </c>
      <c r="BY14" s="16">
        <v>52643.9</v>
      </c>
      <c r="BZ14" s="16">
        <v>23550.4</v>
      </c>
      <c r="CA14" s="16">
        <v>10160000</v>
      </c>
      <c r="CB14" s="16">
        <v>4208810.1</v>
      </c>
      <c r="CC14" s="16">
        <v>1136810.1</v>
      </c>
      <c r="CD14" s="16">
        <v>425899.5</v>
      </c>
      <c r="CE14" s="16">
        <v>32256</v>
      </c>
      <c r="CF14" s="16">
        <v>436100.5</v>
      </c>
      <c r="CG14" s="16">
        <v>1192966.9</v>
      </c>
      <c r="CH14" s="16">
        <v>107683.3</v>
      </c>
      <c r="CI14" s="16">
        <v>1114419.8</v>
      </c>
      <c r="CJ14" s="16">
        <v>1562844.7</v>
      </c>
      <c r="CK14" s="16">
        <v>1909315.9</v>
      </c>
      <c r="CL14" s="16">
        <v>1088791.2</v>
      </c>
      <c r="CM14" s="16">
        <v>1109116.5</v>
      </c>
      <c r="CN14" s="16">
        <v>3143.6</v>
      </c>
      <c r="CO14" s="16">
        <v>71435.8</v>
      </c>
      <c r="CP14" s="16">
        <v>71435.8</v>
      </c>
      <c r="CQ14" s="16">
        <v>326</v>
      </c>
      <c r="CR14" s="16">
        <v>14795</v>
      </c>
      <c r="CS14" s="16">
        <v>14670</v>
      </c>
      <c r="CT14" s="16">
        <v>1</v>
      </c>
      <c r="CU14" s="16">
        <v>645320.4</v>
      </c>
      <c r="CV14" s="16">
        <v>653271.4</v>
      </c>
      <c r="CW14" s="16">
        <v>123824.7</v>
      </c>
      <c r="CX14" s="16">
        <v>3032458.5</v>
      </c>
      <c r="CY14" s="16">
        <v>1267817.3</v>
      </c>
      <c r="CZ14" s="16">
        <v>301775.9</v>
      </c>
      <c r="DA14" s="16">
        <v>207433.2</v>
      </c>
      <c r="DB14" s="16">
        <v>239804.4</v>
      </c>
      <c r="DC14" s="16">
        <v>168954.7</v>
      </c>
      <c r="DD14" s="16">
        <v>3637.5</v>
      </c>
      <c r="DE14" s="16">
        <v>3899</v>
      </c>
      <c r="DF14" s="16">
        <v>1830360.2</v>
      </c>
      <c r="DG14" s="16">
        <v>1065570.5</v>
      </c>
      <c r="DH14" s="16">
        <v>860000</v>
      </c>
      <c r="DI14" s="16">
        <v>567051.2</v>
      </c>
      <c r="DJ14" s="16">
        <v>69472.5</v>
      </c>
      <c r="DK14" s="16">
        <v>498800</v>
      </c>
      <c r="DL14" s="16">
        <v>131528.7</v>
      </c>
      <c r="DM14" s="16">
        <v>4</v>
      </c>
      <c r="DN14" s="16">
        <v>1</v>
      </c>
      <c r="DO14" s="16">
        <v>0</v>
      </c>
      <c r="DP14" s="16">
        <v>1</v>
      </c>
      <c r="DQ14" s="16">
        <v>6</v>
      </c>
      <c r="DR14" s="16">
        <v>7</v>
      </c>
      <c r="DS14" s="16">
        <v>10</v>
      </c>
      <c r="DT14" s="16">
        <v>4</v>
      </c>
      <c r="DU14" s="16">
        <v>2</v>
      </c>
      <c r="DV14" s="16">
        <v>64</v>
      </c>
      <c r="DW14" s="16">
        <v>31</v>
      </c>
      <c r="DX14" s="16">
        <v>9144.200000000001</v>
      </c>
      <c r="DY14" s="16">
        <v>3287.9</v>
      </c>
      <c r="DZ14" s="16">
        <v>1358.2</v>
      </c>
      <c r="EA14" s="16">
        <v>1070.2</v>
      </c>
      <c r="EB14" s="16">
        <v>1243.8</v>
      </c>
      <c r="EC14" s="16">
        <v>68</v>
      </c>
      <c r="ED14" s="16">
        <v>65</v>
      </c>
      <c r="EE14" s="16">
        <v>2</v>
      </c>
      <c r="EF14" s="16">
        <v>0</v>
      </c>
      <c r="EG14" s="16">
        <v>1</v>
      </c>
      <c r="EH14" s="16">
        <v>1</v>
      </c>
      <c r="EI14" s="16">
        <v>0</v>
      </c>
      <c r="EJ14" s="16">
        <v>1</v>
      </c>
      <c r="EK14" s="16">
        <v>1</v>
      </c>
      <c r="EL14" s="16">
        <v>1</v>
      </c>
      <c r="EM14" s="16">
        <v>0</v>
      </c>
      <c r="EN14" s="16">
        <v>0</v>
      </c>
      <c r="EO14" s="16">
        <v>0</v>
      </c>
      <c r="EP14" s="16">
        <v>0</v>
      </c>
      <c r="EQ14" s="16">
        <v>2</v>
      </c>
      <c r="ER14" s="16">
        <v>1</v>
      </c>
      <c r="ES14" s="16">
        <v>0</v>
      </c>
      <c r="ET14" s="16">
        <v>0</v>
      </c>
      <c r="EU14" s="16">
        <v>5</v>
      </c>
      <c r="EV14" s="16">
        <v>0</v>
      </c>
      <c r="EW14" s="16">
        <v>1</v>
      </c>
      <c r="EX14" s="16">
        <v>1</v>
      </c>
      <c r="EY14" s="16">
        <v>58</v>
      </c>
      <c r="EZ14" s="16">
        <v>52</v>
      </c>
      <c r="FA14" s="16">
        <v>2</v>
      </c>
      <c r="FB14" s="16">
        <v>76</v>
      </c>
      <c r="FC14" s="16">
        <v>28</v>
      </c>
      <c r="FD14" s="16">
        <v>24</v>
      </c>
      <c r="FE14" s="16">
        <v>26</v>
      </c>
      <c r="FF14" s="16">
        <v>2</v>
      </c>
      <c r="FG14" s="16">
        <v>0</v>
      </c>
      <c r="FH14" s="16">
        <v>0</v>
      </c>
      <c r="FI14" s="16">
        <v>498702</v>
      </c>
      <c r="FJ14" s="16">
        <v>494943</v>
      </c>
      <c r="FK14" s="16">
        <v>420</v>
      </c>
      <c r="FL14" s="16">
        <v>412</v>
      </c>
      <c r="FM14" s="16">
        <v>0</v>
      </c>
      <c r="FN14" s="16">
        <v>0</v>
      </c>
      <c r="FO14" s="16">
        <v>0</v>
      </c>
      <c r="FP14" s="16">
        <v>5</v>
      </c>
      <c r="FQ14" s="16">
        <v>9.9</v>
      </c>
      <c r="FR14" s="16">
        <v>8</v>
      </c>
      <c r="FS14" s="16">
        <v>0</v>
      </c>
      <c r="FT14" s="16">
        <v>1</v>
      </c>
      <c r="FU14" s="16">
        <v>1</v>
      </c>
    </row>
    <row r="15" spans="1:177">
      <c r="A15" t="s">
        <v>15</v>
      </c>
      <c r="B15" t="s">
        <v>180</v>
      </c>
      <c r="C15" t="s">
        <v>177</v>
      </c>
      <c r="D15">
        <v>30</v>
      </c>
      <c r="E15" s="14">
        <f>SUM('Plant Inputs'!F27,'Plant Inputs'!F33,'Plant Inputs'!F39)</f>
        <v>2160.0</v>
      </c>
      <c r="F15" s="14">
        <f>SUM('Plant Inputs'!G27,'Plant Inputs'!G33,'Plant Inputs'!G39)</f>
        <v>2140.0</v>
      </c>
      <c r="G15" s="14">
        <f>SUM('Plant Inputs'!H27,'Plant Inputs'!H33,'Plant Inputs'!H39)</f>
        <v>2061.2</v>
      </c>
      <c r="H15" s="14">
        <f>SUM('Plant Inputs'!I27,'Plant Inputs'!I33,'Plant Inputs'!I39)</f>
        <v>33.699999999999996</v>
      </c>
      <c r="I15" s="14">
        <f>SUM('Plant Inputs'!J27,'Plant Inputs'!J33,'Plant Inputs'!J39)</f>
        <v>349230.0</v>
      </c>
      <c r="J15" s="14">
        <f>SUM('Plant Inputs'!K27,'Plant Inputs'!K33,'Plant Inputs'!K39)</f>
        <v>352800.0</v>
      </c>
      <c r="K15" s="14">
        <f>SUM('Plant Inputs'!L27,'Plant Inputs'!L33,'Plant Inputs'!L39)</f>
        <v>307966.0</v>
      </c>
      <c r="L15" s="14">
        <f>SUM('Plant Inputs'!M27,'Plant Inputs'!M33,'Plant Inputs'!M39)</f>
        <v>315972.0</v>
      </c>
      <c r="M15" s="14">
        <f>SUM('Plant Inputs'!N27,'Plant Inputs'!N33,'Plant Inputs'!N39)</f>
        <v>308869.0</v>
      </c>
      <c r="N15" s="14">
        <f>SUM('Plant Inputs'!O27,'Plant Inputs'!O33,'Plant Inputs'!O39)</f>
        <v>334213.0</v>
      </c>
      <c r="O15" s="14">
        <f>SUM('Plant Inputs'!P27,'Plant Inputs'!P33,'Plant Inputs'!P39)</f>
        <v>69389.0</v>
      </c>
      <c r="P15" s="14">
        <f>SUM('Plant Inputs'!Q27,'Plant Inputs'!Q33,'Plant Inputs'!Q39)</f>
        <v>60526.0</v>
      </c>
      <c r="Q15" s="14">
        <f>SUM('Plant Inputs'!R27,'Plant Inputs'!R33,'Plant Inputs'!R39)</f>
        <v>5492.0</v>
      </c>
      <c r="R15" s="14">
        <f>SUM('Plant Inputs'!S27,'Plant Inputs'!S33,'Plant Inputs'!S39)</f>
        <v>3.0</v>
      </c>
      <c r="S15" s="14">
        <f>SUM('Plant Inputs'!T27,'Plant Inputs'!T33,'Plant Inputs'!T39)</f>
        <v>18.5</v>
      </c>
      <c r="T15" s="14">
        <f>SUM('Plant Inputs'!U27,'Plant Inputs'!U33,'Plant Inputs'!U39)</f>
        <v>137.0</v>
      </c>
      <c r="U15" s="14">
        <f>SUM('Plant Inputs'!V27,'Plant Inputs'!V33,'Plant Inputs'!V39)</f>
        <v>134.0</v>
      </c>
      <c r="V15" s="14">
        <f>SUM('Plant Inputs'!W27,'Plant Inputs'!W33,'Plant Inputs'!W39)</f>
        <v>927755.3999999999</v>
      </c>
      <c r="W15" s="14">
        <f>SUM('Plant Inputs'!X27,'Plant Inputs'!X33,'Plant Inputs'!X39)</f>
        <v>240696.89999999997</v>
      </c>
      <c r="X15" s="14">
        <f>SUM('Plant Inputs'!Y27,'Plant Inputs'!Y33,'Plant Inputs'!Y39)</f>
        <v>3949.1</v>
      </c>
      <c r="Y15" s="14">
        <f>SUM('Plant Inputs'!Z27,'Plant Inputs'!Z33,'Plant Inputs'!Z39)</f>
        <v>708831.0</v>
      </c>
      <c r="Z15" s="14">
        <f>SUM('Plant Inputs'!AA27,'Plant Inputs'!AA33,'Plant Inputs'!AA39)</f>
        <v>208159.0</v>
      </c>
      <c r="AA15" s="14">
        <f>SUM('Plant Inputs'!AB27,'Plant Inputs'!AB33,'Plant Inputs'!AB39)</f>
        <v>996266.0</v>
      </c>
      <c r="AB15" s="14">
        <f>SUM('Plant Inputs'!AC27,'Plant Inputs'!AC33,'Plant Inputs'!AC39)</f>
        <v>5880.0</v>
      </c>
      <c r="AC15" s="14">
        <f>SUM('Plant Inputs'!AD27,'Plant Inputs'!AD33,'Plant Inputs'!AD39)</f>
        <v>2.0</v>
      </c>
      <c r="AD15" s="14">
        <f>SUM('Plant Inputs'!AE27,'Plant Inputs'!AE33,'Plant Inputs'!AE39)</f>
        <v>206000.0</v>
      </c>
      <c r="AE15" s="14">
        <f>SUM('Plant Inputs'!AF27,'Plant Inputs'!AF33,'Plant Inputs'!AF39)</f>
        <v>0.0</v>
      </c>
      <c r="AF15" s="14">
        <f>SUM('Plant Inputs'!AG27,'Plant Inputs'!AG33,'Plant Inputs'!AG39)</f>
        <v>2.0</v>
      </c>
      <c r="AG15" s="14">
        <f>SUM('Plant Inputs'!AH27,'Plant Inputs'!AH33,'Plant Inputs'!AH39)</f>
        <v>21.0</v>
      </c>
      <c r="AH15" s="14">
        <f>SUM('Plant Inputs'!AI27,'Plant Inputs'!AI33,'Plant Inputs'!AI39)</f>
        <v>0.0</v>
      </c>
      <c r="AI15" s="14">
        <f>SUM('Plant Inputs'!AJ27,'Plant Inputs'!AJ33,'Plant Inputs'!AJ39)</f>
        <v>1.0</v>
      </c>
      <c r="AJ15" s="14">
        <f>SUM('Plant Inputs'!AK27,'Plant Inputs'!AK33,'Plant Inputs'!AK39)</f>
        <v>0.0</v>
      </c>
      <c r="AK15" s="14">
        <f>SUM('Plant Inputs'!AL27,'Plant Inputs'!AL33,'Plant Inputs'!AL39)</f>
        <v>17.0</v>
      </c>
      <c r="AL15" s="14">
        <f>SUM('Plant Inputs'!AM27,'Plant Inputs'!AM33,'Plant Inputs'!AM39)</f>
        <v>2.0</v>
      </c>
      <c r="AM15" s="14">
        <f>SUM('Plant Inputs'!AN27,'Plant Inputs'!AN33,'Plant Inputs'!AN39)</f>
        <v>0.0</v>
      </c>
      <c r="AN15" s="14">
        <f>SUM('Plant Inputs'!AO27,'Plant Inputs'!AO33,'Plant Inputs'!AO39)</f>
        <v>0.0</v>
      </c>
      <c r="AO15" s="14">
        <f>SUM('Plant Inputs'!AP27,'Plant Inputs'!AP33,'Plant Inputs'!AP39)</f>
        <v>1.0</v>
      </c>
      <c r="AP15" s="14">
        <f>SUM('Plant Inputs'!AQ27,'Plant Inputs'!AQ33,'Plant Inputs'!AQ39)</f>
        <v>492.0</v>
      </c>
      <c r="AQ15" s="14">
        <f>SUM('Plant Inputs'!AR27,'Plant Inputs'!AR33,'Plant Inputs'!AR39)</f>
        <v>30.0</v>
      </c>
      <c r="AR15" s="14">
        <f>MIN('Plant Inputs'!AS27,'Plant Inputs'!AS33,'Plant Inputs'!AS39)</f>
        <v>102</v>
      </c>
      <c r="AS15" s="14">
        <f>SUM('Plant Inputs'!AT27,'Plant Inputs'!AT33,'Plant Inputs'!AT39)</f>
        <v>313699.0</v>
      </c>
      <c r="AT15" s="14">
        <f>SUM('Plant Inputs'!AU27,'Plant Inputs'!AU33,'Plant Inputs'!AU39)</f>
        <v>307417.0</v>
      </c>
      <c r="AU15" s="14">
        <f>SUM('Plant Inputs'!AV27,'Plant Inputs'!AV33,'Plant Inputs'!AV39)</f>
        <v>1180093.6</v>
      </c>
      <c r="AV15" s="14">
        <f>SUM('Plant Inputs'!AW27,'Plant Inputs'!AW33,'Plant Inputs'!AW39)</f>
        <v>1155887.9000000001</v>
      </c>
      <c r="AW15" s="14">
        <f>SUM('Plant Inputs'!AX27,'Plant Inputs'!AX33,'Plant Inputs'!AX39)</f>
        <v>53162.9</v>
      </c>
      <c r="AX15" s="14">
        <f>SUM('Plant Inputs'!AY27,'Plant Inputs'!AY33,'Plant Inputs'!AY39)</f>
        <v>42145.5</v>
      </c>
      <c r="AY15" s="14">
        <f>SUM('Plant Inputs'!AZ27,'Plant Inputs'!AZ33,'Plant Inputs'!AZ39)</f>
        <v>725.0</v>
      </c>
      <c r="AZ15" s="14">
        <f>SUM('Plant Inputs'!BA27,'Plant Inputs'!BA33,'Plant Inputs'!BA39)</f>
        <v>669.0</v>
      </c>
      <c r="BA15" s="14">
        <f>SUM('Plant Inputs'!BB27,'Plant Inputs'!BB33,'Plant Inputs'!BB39)</f>
        <v>329176.0</v>
      </c>
      <c r="BB15" s="14">
        <f>SUM('Plant Inputs'!BC27,'Plant Inputs'!BC33,'Plant Inputs'!BC39)</f>
        <v>318018.0</v>
      </c>
      <c r="BC15" s="14">
        <f>SUM('Plant Inputs'!BD27,'Plant Inputs'!BD33,'Plant Inputs'!BD39)</f>
        <v>4077.0</v>
      </c>
      <c r="BD15" s="14">
        <f>SUM('Plant Inputs'!BE27,'Plant Inputs'!BE33,'Plant Inputs'!BE39)</f>
        <v>2632.0</v>
      </c>
      <c r="BE15" s="14">
        <f>SUM('Plant Inputs'!BF27,'Plant Inputs'!BF33,'Plant Inputs'!BF39)</f>
        <v>2728.0</v>
      </c>
      <c r="BF15" s="14">
        <f>SUM('Plant Inputs'!BG27,'Plant Inputs'!BG33,'Plant Inputs'!BG39)</f>
        <v>520843.19999999995</v>
      </c>
      <c r="BG15" s="14">
        <f>SUM('Plant Inputs'!BH27,'Plant Inputs'!BH33,'Plant Inputs'!BH39)</f>
        <v>185137.2</v>
      </c>
      <c r="BH15" s="14">
        <f>SUM('Plant Inputs'!BI27,'Plant Inputs'!BI33,'Plant Inputs'!BI39)</f>
        <v>1.0</v>
      </c>
      <c r="BI15" s="14">
        <f>SUM('Plant Inputs'!BJ27,'Plant Inputs'!BJ33,'Plant Inputs'!BJ39)</f>
        <v>0.0</v>
      </c>
      <c r="BJ15" s="14">
        <f>SUM('Plant Inputs'!BK27,'Plant Inputs'!BK33,'Plant Inputs'!BK39)</f>
        <v>1.0</v>
      </c>
      <c r="BK15" s="14">
        <f>SUM('Plant Inputs'!BL27,'Plant Inputs'!BL33,'Plant Inputs'!BL39)</f>
        <v>0.0</v>
      </c>
      <c r="BL15" s="14">
        <f>SUM('Plant Inputs'!BM27,'Plant Inputs'!BM33,'Plant Inputs'!BM39)</f>
        <v>1.0</v>
      </c>
      <c r="BM15" s="14">
        <f>SUM('Plant Inputs'!BN27,'Plant Inputs'!BN33,'Plant Inputs'!BN39)</f>
        <v>0.0</v>
      </c>
      <c r="BN15" s="14">
        <f>SUM('Plant Inputs'!BO27,'Plant Inputs'!BO33,'Plant Inputs'!BO39)</f>
        <v>0.0</v>
      </c>
      <c r="BO15" s="14">
        <f>SUM('Plant Inputs'!BP27,'Plant Inputs'!BP33,'Plant Inputs'!BP39)</f>
        <v>0.0</v>
      </c>
      <c r="BP15" s="14">
        <f>SUM('Plant Inputs'!BQ27,'Plant Inputs'!BQ33,'Plant Inputs'!BQ39)</f>
        <v>0.0</v>
      </c>
      <c r="BQ15" s="14">
        <f>SUM('Plant Inputs'!BR27,'Plant Inputs'!BR33,'Plant Inputs'!BR39)</f>
        <v>0.0</v>
      </c>
      <c r="BR15" s="14">
        <f>SUM('Plant Inputs'!BS27,'Plant Inputs'!BS33,'Plant Inputs'!BS39)</f>
        <v>0.0</v>
      </c>
      <c r="BS15" s="14">
        <f>MIN('Plant Inputs'!BT27,'Plant Inputs'!BT33,'Plant Inputs'!BT39)</f>
        <v>99</v>
      </c>
      <c r="BT15" s="14">
        <f>SUM('Plant Inputs'!BU27,'Plant Inputs'!BU33,'Plant Inputs'!BU39)</f>
        <v>313368.0</v>
      </c>
      <c r="BU15" s="14">
        <f>SUM('Plant Inputs'!BV27,'Plant Inputs'!BV33,'Plant Inputs'!BV39)</f>
        <v>314732.0</v>
      </c>
      <c r="BV15" s="14">
        <f>SUM('Plant Inputs'!BW27,'Plant Inputs'!BW33,'Plant Inputs'!BW39)</f>
        <v>124480517.0</v>
      </c>
      <c r="BW15" s="14">
        <f>SUM('Plant Inputs'!BX27,'Plant Inputs'!BX33,'Plant Inputs'!BX39)</f>
        <v>349230.0</v>
      </c>
      <c r="BX15" s="14">
        <f>SUM('Plant Inputs'!BY27,'Plant Inputs'!BY33,'Plant Inputs'!BY39)</f>
        <v>5713.0</v>
      </c>
      <c r="BY15" s="16">
        <v>52845</v>
      </c>
      <c r="BZ15" s="16">
        <v>40246.8</v>
      </c>
      <c r="CA15" s="16">
        <v>10200000</v>
      </c>
      <c r="CB15" s="16">
        <v>4214739.8</v>
      </c>
      <c r="CC15" s="16">
        <v>1174739.8</v>
      </c>
      <c r="CD15" s="16">
        <v>431783.2</v>
      </c>
      <c r="CE15" s="16">
        <v>31920</v>
      </c>
      <c r="CF15" s="16">
        <v>405067.9</v>
      </c>
      <c r="CG15" s="16">
        <v>1280130.3</v>
      </c>
      <c r="CH15" s="16">
        <v>195011.3</v>
      </c>
      <c r="CI15" s="16">
        <v>1173926.1</v>
      </c>
      <c r="CJ15" s="16">
        <v>1654275.7</v>
      </c>
      <c r="CK15" s="16">
        <v>1971156.1</v>
      </c>
      <c r="CL15" s="16">
        <v>1085692.7</v>
      </c>
      <c r="CM15" s="16">
        <v>1145104.1</v>
      </c>
      <c r="CN15" s="16">
        <v>2567.4</v>
      </c>
      <c r="CO15" s="16">
        <v>83215.8</v>
      </c>
      <c r="CP15" s="16">
        <v>83215.8</v>
      </c>
      <c r="CQ15" s="16">
        <v>355</v>
      </c>
      <c r="CR15" s="16">
        <v>16051</v>
      </c>
      <c r="CS15" s="16">
        <v>15975</v>
      </c>
      <c r="CT15" s="16">
        <v>1</v>
      </c>
      <c r="CU15" s="16">
        <v>1172252.9</v>
      </c>
      <c r="CV15" s="16">
        <v>1179902.4</v>
      </c>
      <c r="CW15" s="16">
        <v>182427</v>
      </c>
      <c r="CX15" s="16">
        <v>2999569.4</v>
      </c>
      <c r="CY15" s="16">
        <v>2303674.3</v>
      </c>
      <c r="CZ15" s="16">
        <v>330230.9</v>
      </c>
      <c r="DA15" s="16">
        <v>231774.8</v>
      </c>
      <c r="DB15" s="16">
        <v>259974.1</v>
      </c>
      <c r="DC15" s="16">
        <v>191082.1</v>
      </c>
      <c r="DD15" s="16">
        <v>4370.6</v>
      </c>
      <c r="DE15" s="16">
        <v>4752.9</v>
      </c>
      <c r="DF15" s="16">
        <v>1953973.8</v>
      </c>
      <c r="DG15" s="16">
        <v>1193687.3</v>
      </c>
      <c r="DH15" s="16">
        <v>860000</v>
      </c>
      <c r="DI15" s="16">
        <v>625104.2</v>
      </c>
      <c r="DJ15" s="16">
        <v>65703.7</v>
      </c>
      <c r="DK15" s="16">
        <v>541800</v>
      </c>
      <c r="DL15" s="16">
        <v>127233</v>
      </c>
      <c r="DM15" s="16">
        <v>4</v>
      </c>
      <c r="DN15" s="16">
        <v>1</v>
      </c>
      <c r="DO15" s="16">
        <v>0</v>
      </c>
      <c r="DP15" s="16">
        <v>1</v>
      </c>
      <c r="DQ15" s="16">
        <v>7</v>
      </c>
      <c r="DR15" s="16">
        <v>9</v>
      </c>
      <c r="DS15" s="16">
        <v>10</v>
      </c>
      <c r="DT15" s="16">
        <v>4</v>
      </c>
      <c r="DU15" s="16">
        <v>2</v>
      </c>
      <c r="DV15" s="16">
        <v>64</v>
      </c>
      <c r="DW15" s="16">
        <v>35</v>
      </c>
      <c r="DX15" s="16">
        <v>9329.9</v>
      </c>
      <c r="DY15" s="16">
        <v>3492</v>
      </c>
      <c r="DZ15" s="16">
        <v>1271.7</v>
      </c>
      <c r="EA15" s="16">
        <v>1040.2</v>
      </c>
      <c r="EB15" s="16">
        <v>1241.7</v>
      </c>
      <c r="EC15" s="16">
        <v>68</v>
      </c>
      <c r="ED15" s="16">
        <v>65</v>
      </c>
      <c r="EE15" s="16">
        <v>2</v>
      </c>
      <c r="EF15" s="16">
        <v>0</v>
      </c>
      <c r="EG15" s="16">
        <v>1</v>
      </c>
      <c r="EH15" s="16">
        <v>1</v>
      </c>
      <c r="EI15" s="16">
        <v>0</v>
      </c>
      <c r="EJ15" s="16">
        <v>0</v>
      </c>
      <c r="EK15" s="16">
        <v>0</v>
      </c>
      <c r="EL15" s="16">
        <v>0</v>
      </c>
      <c r="EM15" s="16">
        <v>0</v>
      </c>
      <c r="EN15" s="16">
        <v>0</v>
      </c>
      <c r="EO15" s="16">
        <v>0</v>
      </c>
      <c r="EP15" s="16">
        <v>0</v>
      </c>
      <c r="EQ15" s="16">
        <v>2</v>
      </c>
      <c r="ER15" s="16">
        <v>1</v>
      </c>
      <c r="ES15" s="16">
        <v>0</v>
      </c>
      <c r="ET15" s="16">
        <v>0</v>
      </c>
      <c r="EU15" s="16">
        <v>5</v>
      </c>
      <c r="EV15" s="16">
        <v>0</v>
      </c>
      <c r="EW15" s="16">
        <v>1</v>
      </c>
      <c r="EX15" s="16">
        <v>1</v>
      </c>
      <c r="EY15" s="16">
        <v>58</v>
      </c>
      <c r="EZ15" s="16">
        <v>52</v>
      </c>
      <c r="FA15" s="16">
        <v>2</v>
      </c>
      <c r="FB15" s="16">
        <v>78</v>
      </c>
      <c r="FC15" s="16">
        <v>28</v>
      </c>
      <c r="FD15" s="16">
        <v>24</v>
      </c>
      <c r="FE15" s="16">
        <v>26</v>
      </c>
      <c r="FF15" s="16">
        <v>2</v>
      </c>
      <c r="FG15" s="16">
        <v>0</v>
      </c>
      <c r="FH15" s="16">
        <v>0</v>
      </c>
      <c r="FI15" s="16">
        <v>504265</v>
      </c>
      <c r="FJ15" s="16">
        <v>499753</v>
      </c>
      <c r="FK15" s="16">
        <v>420</v>
      </c>
      <c r="FL15" s="16">
        <v>410</v>
      </c>
      <c r="FM15" s="16">
        <v>0</v>
      </c>
      <c r="FN15" s="16">
        <v>1</v>
      </c>
      <c r="FO15" s="16">
        <v>0</v>
      </c>
      <c r="FP15" s="16">
        <v>5</v>
      </c>
      <c r="FQ15" s="16">
        <v>10.3</v>
      </c>
      <c r="FR15" s="16">
        <v>8</v>
      </c>
      <c r="FS15" s="16">
        <v>0</v>
      </c>
      <c r="FT15" s="16">
        <v>1</v>
      </c>
      <c r="FU15" s="16">
        <v>1</v>
      </c>
    </row>
  </sheetData>
  <autoFilter ref="A3:FU15"/>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Y39"/>
  <sheetViews>
    <sheetView workbookViewId="0">
      <pane xSplit="4" ySplit="3" topLeftCell="E4" activePane="bottomRight" state="frozen"/>
      <selection pane="topRight" activeCell="E1" sqref="E1"/>
      <selection pane="bottomLeft" activeCell="A4" sqref="A4"/>
      <selection pane="bottomRight"/>
    </sheetView>
  </sheetViews>
  <sheetFormatPr defaultRowHeight="15"/>
  <cols>
    <col min="1" max="4" width="10.7109375" customWidth="1"/>
    <col min="5" max="77" width="15.7109375" customWidth="1"/>
  </cols>
  <sheetData>
    <row r="1" spans="1:77" ht="48" customHeight="1">
      <c r="A1" s="9" t="s">
        <v>15</v>
      </c>
      <c r="B1" s="9" t="s">
        <v>17</v>
      </c>
      <c r="C1" s="9" t="s">
        <v>19</v>
      </c>
      <c r="D1" s="9" t="s">
        <v>21</v>
      </c>
      <c r="E1" s="9" t="s">
        <v>23</v>
      </c>
      <c r="F1" s="9" t="s">
        <v>26</v>
      </c>
      <c r="G1" s="9" t="s">
        <v>28</v>
      </c>
      <c r="H1" s="9" t="s">
        <v>30</v>
      </c>
      <c r="I1" s="9" t="s">
        <v>32</v>
      </c>
      <c r="J1" s="9" t="s">
        <v>34</v>
      </c>
      <c r="K1" s="9" t="s">
        <v>36</v>
      </c>
      <c r="L1" s="9" t="s">
        <v>38</v>
      </c>
      <c r="M1" s="9" t="s">
        <v>40</v>
      </c>
      <c r="N1" s="9" t="s">
        <v>42</v>
      </c>
      <c r="O1" s="9" t="s">
        <v>44</v>
      </c>
      <c r="P1" s="9" t="s">
        <v>46</v>
      </c>
      <c r="Q1" s="9" t="s">
        <v>48</v>
      </c>
      <c r="R1" s="9" t="s">
        <v>50</v>
      </c>
      <c r="S1" s="9" t="s">
        <v>52</v>
      </c>
      <c r="T1" s="9" t="s">
        <v>54</v>
      </c>
      <c r="U1" s="9" t="s">
        <v>56</v>
      </c>
      <c r="V1" s="9" t="s">
        <v>58</v>
      </c>
      <c r="W1" s="9" t="s">
        <v>60</v>
      </c>
      <c r="X1" s="9" t="s">
        <v>62</v>
      </c>
      <c r="Y1" s="9" t="s">
        <v>64</v>
      </c>
      <c r="Z1" s="9" t="s">
        <v>66</v>
      </c>
      <c r="AA1" s="9" t="s">
        <v>68</v>
      </c>
      <c r="AB1" s="9" t="s">
        <v>70</v>
      </c>
      <c r="AC1" s="9" t="s">
        <v>72</v>
      </c>
      <c r="AD1" s="9" t="s">
        <v>74</v>
      </c>
      <c r="AE1" s="9" t="s">
        <v>76</v>
      </c>
      <c r="AF1" s="9" t="s">
        <v>78</v>
      </c>
      <c r="AG1" s="9" t="s">
        <v>80</v>
      </c>
      <c r="AH1" s="9" t="s">
        <v>82</v>
      </c>
      <c r="AI1" s="9" t="s">
        <v>84</v>
      </c>
      <c r="AJ1" s="9" t="s">
        <v>86</v>
      </c>
      <c r="AK1" s="9" t="s">
        <v>88</v>
      </c>
      <c r="AL1" s="9" t="s">
        <v>90</v>
      </c>
      <c r="AM1" s="9" t="s">
        <v>92</v>
      </c>
      <c r="AN1" s="9" t="s">
        <v>94</v>
      </c>
      <c r="AO1" s="9" t="s">
        <v>96</v>
      </c>
      <c r="AP1" s="9" t="s">
        <v>98</v>
      </c>
      <c r="AQ1" s="9" t="s">
        <v>100</v>
      </c>
      <c r="AR1" s="9" t="s">
        <v>102</v>
      </c>
      <c r="AS1" s="9" t="s">
        <v>104</v>
      </c>
      <c r="AT1" s="9" t="s">
        <v>106</v>
      </c>
      <c r="AU1" s="9" t="s">
        <v>108</v>
      </c>
      <c r="AV1" s="9" t="s">
        <v>110</v>
      </c>
      <c r="AW1" s="9" t="s">
        <v>112</v>
      </c>
      <c r="AX1" s="9" t="s">
        <v>114</v>
      </c>
      <c r="AY1" s="9" t="s">
        <v>116</v>
      </c>
      <c r="AZ1" s="9" t="s">
        <v>118</v>
      </c>
      <c r="BA1" s="9" t="s">
        <v>120</v>
      </c>
      <c r="BB1" s="9" t="s">
        <v>122</v>
      </c>
      <c r="BC1" s="9" t="s">
        <v>124</v>
      </c>
      <c r="BD1" s="9" t="s">
        <v>126</v>
      </c>
      <c r="BE1" s="9" t="s">
        <v>128</v>
      </c>
      <c r="BF1" s="9" t="s">
        <v>130</v>
      </c>
      <c r="BG1" s="9" t="s">
        <v>132</v>
      </c>
      <c r="BH1" s="9" t="s">
        <v>134</v>
      </c>
      <c r="BI1" s="9" t="s">
        <v>136</v>
      </c>
      <c r="BJ1" s="9" t="s">
        <v>138</v>
      </c>
      <c r="BK1" s="9" t="s">
        <v>140</v>
      </c>
      <c r="BL1" s="9" t="s">
        <v>142</v>
      </c>
      <c r="BM1" s="9" t="s">
        <v>144</v>
      </c>
      <c r="BN1" s="9" t="s">
        <v>146</v>
      </c>
      <c r="BO1" s="9" t="s">
        <v>148</v>
      </c>
      <c r="BP1" s="9" t="s">
        <v>150</v>
      </c>
      <c r="BQ1" s="9" t="s">
        <v>152</v>
      </c>
      <c r="BR1" s="9" t="s">
        <v>154</v>
      </c>
      <c r="BS1" s="9" t="s">
        <v>156</v>
      </c>
      <c r="BT1" s="9" t="s">
        <v>158</v>
      </c>
      <c r="BU1" s="9" t="s">
        <v>160</v>
      </c>
      <c r="BV1" s="9" t="s">
        <v>162</v>
      </c>
      <c r="BW1" s="9" t="s">
        <v>164</v>
      </c>
      <c r="BX1" s="9" t="s">
        <v>166</v>
      </c>
      <c r="BY1" s="9" t="s">
        <v>168</v>
      </c>
    </row>
    <row r="2" spans="1:77">
      <c r="A2" s="11" t="s">
        <v>16</v>
      </c>
      <c r="B2" s="11" t="s">
        <v>18</v>
      </c>
      <c r="C2" s="11" t="s">
        <v>20</v>
      </c>
      <c r="D2" s="11" t="s">
        <v>22</v>
      </c>
      <c r="E2" s="11" t="s">
        <v>24</v>
      </c>
      <c r="F2" s="11" t="s">
        <v>27</v>
      </c>
      <c r="G2" s="11" t="s">
        <v>29</v>
      </c>
      <c r="H2" s="11" t="s">
        <v>31</v>
      </c>
      <c r="I2" s="11" t="s">
        <v>33</v>
      </c>
      <c r="J2" s="11" t="s">
        <v>35</v>
      </c>
      <c r="K2" s="11" t="s">
        <v>37</v>
      </c>
      <c r="L2" s="11" t="s">
        <v>39</v>
      </c>
      <c r="M2" s="11" t="s">
        <v>41</v>
      </c>
      <c r="N2" s="11" t="s">
        <v>43</v>
      </c>
      <c r="O2" s="11" t="s">
        <v>45</v>
      </c>
      <c r="P2" s="11" t="s">
        <v>47</v>
      </c>
      <c r="Q2" s="11" t="s">
        <v>49</v>
      </c>
      <c r="R2" s="11" t="s">
        <v>51</v>
      </c>
      <c r="S2" s="11" t="s">
        <v>53</v>
      </c>
      <c r="T2" s="11" t="s">
        <v>55</v>
      </c>
      <c r="U2" s="11" t="s">
        <v>57</v>
      </c>
      <c r="V2" s="11" t="s">
        <v>59</v>
      </c>
      <c r="W2" s="11" t="s">
        <v>61</v>
      </c>
      <c r="X2" s="11" t="s">
        <v>63</v>
      </c>
      <c r="Y2" s="11" t="s">
        <v>65</v>
      </c>
      <c r="Z2" s="11" t="s">
        <v>67</v>
      </c>
      <c r="AA2" s="11" t="s">
        <v>69</v>
      </c>
      <c r="AB2" s="11" t="s">
        <v>71</v>
      </c>
      <c r="AC2" s="11" t="s">
        <v>73</v>
      </c>
      <c r="AD2" s="11" t="s">
        <v>75</v>
      </c>
      <c r="AE2" s="11" t="s">
        <v>77</v>
      </c>
      <c r="AF2" s="11" t="s">
        <v>79</v>
      </c>
      <c r="AG2" s="11" t="s">
        <v>81</v>
      </c>
      <c r="AH2" s="11" t="s">
        <v>83</v>
      </c>
      <c r="AI2" s="11" t="s">
        <v>85</v>
      </c>
      <c r="AJ2" s="11" t="s">
        <v>87</v>
      </c>
      <c r="AK2" s="11" t="s">
        <v>89</v>
      </c>
      <c r="AL2" s="11" t="s">
        <v>91</v>
      </c>
      <c r="AM2" s="11" t="s">
        <v>93</v>
      </c>
      <c r="AN2" s="11" t="s">
        <v>95</v>
      </c>
      <c r="AO2" s="11" t="s">
        <v>97</v>
      </c>
      <c r="AP2" s="11" t="s">
        <v>99</v>
      </c>
      <c r="AQ2" s="11" t="s">
        <v>101</v>
      </c>
      <c r="AR2" s="11" t="s">
        <v>103</v>
      </c>
      <c r="AS2" s="11" t="s">
        <v>105</v>
      </c>
      <c r="AT2" s="11" t="s">
        <v>107</v>
      </c>
      <c r="AU2" s="11" t="s">
        <v>109</v>
      </c>
      <c r="AV2" s="11" t="s">
        <v>111</v>
      </c>
      <c r="AW2" s="11" t="s">
        <v>113</v>
      </c>
      <c r="AX2" s="11" t="s">
        <v>115</v>
      </c>
      <c r="AY2" s="11" t="s">
        <v>117</v>
      </c>
      <c r="AZ2" s="11" t="s">
        <v>119</v>
      </c>
      <c r="BA2" s="11" t="s">
        <v>121</v>
      </c>
      <c r="BB2" s="11" t="s">
        <v>123</v>
      </c>
      <c r="BC2" s="11" t="s">
        <v>125</v>
      </c>
      <c r="BD2" s="11" t="s">
        <v>127</v>
      </c>
      <c r="BE2" s="11" t="s">
        <v>129</v>
      </c>
      <c r="BF2" s="11" t="s">
        <v>131</v>
      </c>
      <c r="BG2" s="11" t="s">
        <v>133</v>
      </c>
      <c r="BH2" s="11" t="s">
        <v>135</v>
      </c>
      <c r="BI2" s="11" t="s">
        <v>137</v>
      </c>
      <c r="BJ2" s="11" t="s">
        <v>139</v>
      </c>
      <c r="BK2" s="11" t="s">
        <v>141</v>
      </c>
      <c r="BL2" s="11" t="s">
        <v>143</v>
      </c>
      <c r="BM2" s="11" t="s">
        <v>145</v>
      </c>
      <c r="BN2" s="11" t="s">
        <v>147</v>
      </c>
      <c r="BO2" s="11" t="s">
        <v>149</v>
      </c>
      <c r="BP2" s="11" t="s">
        <v>151</v>
      </c>
      <c r="BQ2" s="11" t="s">
        <v>153</v>
      </c>
      <c r="BR2" s="11" t="s">
        <v>155</v>
      </c>
      <c r="BS2" s="11" t="s">
        <v>157</v>
      </c>
      <c r="BT2" s="11" t="s">
        <v>159</v>
      </c>
      <c r="BU2" s="11" t="s">
        <v>161</v>
      </c>
      <c r="BV2" s="11" t="s">
        <v>163</v>
      </c>
      <c r="BW2" s="11" t="s">
        <v>165</v>
      </c>
      <c r="BX2" s="11" t="s">
        <v>167</v>
      </c>
      <c r="BY2" s="11" t="s">
        <v>169</v>
      </c>
    </row>
    <row r="3" spans="1:77">
      <c r="A3" s="9"/>
      <c r="B3" s="9"/>
      <c r="C3" s="9"/>
      <c r="D3" s="9"/>
      <c r="E3" s="9" t="s">
        <v>25</v>
      </c>
      <c r="F3" s="9" t="s">
        <v>25</v>
      </c>
      <c r="G3" s="9" t="s">
        <v>25</v>
      </c>
      <c r="H3" s="9" t="s">
        <v>25</v>
      </c>
      <c r="I3" s="9" t="s">
        <v>25</v>
      </c>
      <c r="J3" s="9" t="s">
        <v>25</v>
      </c>
      <c r="K3" s="9" t="s">
        <v>25</v>
      </c>
      <c r="L3" s="9" t="s">
        <v>25</v>
      </c>
      <c r="M3" s="9" t="s">
        <v>25</v>
      </c>
      <c r="N3" s="9" t="s">
        <v>25</v>
      </c>
      <c r="O3" s="9" t="s">
        <v>25</v>
      </c>
      <c r="P3" s="9" t="s">
        <v>25</v>
      </c>
      <c r="Q3" s="9" t="s">
        <v>25</v>
      </c>
      <c r="R3" s="9" t="s">
        <v>25</v>
      </c>
      <c r="S3" s="9" t="s">
        <v>25</v>
      </c>
      <c r="T3" s="9" t="s">
        <v>25</v>
      </c>
      <c r="U3" s="9" t="s">
        <v>25</v>
      </c>
      <c r="V3" s="9" t="s">
        <v>25</v>
      </c>
      <c r="W3" s="9" t="s">
        <v>25</v>
      </c>
      <c r="X3" s="9" t="s">
        <v>25</v>
      </c>
      <c r="Y3" s="9" t="s">
        <v>25</v>
      </c>
      <c r="Z3" s="9" t="s">
        <v>25</v>
      </c>
      <c r="AA3" s="9" t="s">
        <v>25</v>
      </c>
      <c r="AB3" s="9" t="s">
        <v>25</v>
      </c>
      <c r="AC3" s="9" t="s">
        <v>25</v>
      </c>
      <c r="AD3" s="9" t="s">
        <v>25</v>
      </c>
      <c r="AE3" s="9" t="s">
        <v>25</v>
      </c>
      <c r="AF3" s="9" t="s">
        <v>25</v>
      </c>
      <c r="AG3" s="9" t="s">
        <v>25</v>
      </c>
      <c r="AH3" s="9" t="s">
        <v>25</v>
      </c>
      <c r="AI3" s="9" t="s">
        <v>25</v>
      </c>
      <c r="AJ3" s="9" t="s">
        <v>25</v>
      </c>
      <c r="AK3" s="9" t="s">
        <v>25</v>
      </c>
      <c r="AL3" s="9" t="s">
        <v>25</v>
      </c>
      <c r="AM3" s="9" t="s">
        <v>25</v>
      </c>
      <c r="AN3" s="9" t="s">
        <v>25</v>
      </c>
      <c r="AO3" s="9" t="s">
        <v>25</v>
      </c>
      <c r="AP3" s="9" t="s">
        <v>25</v>
      </c>
      <c r="AQ3" s="9" t="s">
        <v>25</v>
      </c>
      <c r="AR3" s="9" t="s">
        <v>25</v>
      </c>
      <c r="AS3" s="9" t="s">
        <v>25</v>
      </c>
      <c r="AT3" s="9" t="s">
        <v>25</v>
      </c>
      <c r="AU3" s="9" t="s">
        <v>25</v>
      </c>
      <c r="AV3" s="9" t="s">
        <v>25</v>
      </c>
      <c r="AW3" s="9" t="s">
        <v>25</v>
      </c>
      <c r="AX3" s="9" t="s">
        <v>25</v>
      </c>
      <c r="AY3" s="9" t="s">
        <v>25</v>
      </c>
      <c r="AZ3" s="9" t="s">
        <v>25</v>
      </c>
      <c r="BA3" s="9" t="s">
        <v>25</v>
      </c>
      <c r="BB3" s="9" t="s">
        <v>25</v>
      </c>
      <c r="BC3" s="9" t="s">
        <v>25</v>
      </c>
      <c r="BD3" s="9" t="s">
        <v>25</v>
      </c>
      <c r="BE3" s="9" t="s">
        <v>25</v>
      </c>
      <c r="BF3" s="9" t="s">
        <v>25</v>
      </c>
      <c r="BG3" s="9" t="s">
        <v>25</v>
      </c>
      <c r="BH3" s="9" t="s">
        <v>25</v>
      </c>
      <c r="BI3" s="9" t="s">
        <v>25</v>
      </c>
      <c r="BJ3" s="9" t="s">
        <v>25</v>
      </c>
      <c r="BK3" s="9" t="s">
        <v>25</v>
      </c>
      <c r="BL3" s="9" t="s">
        <v>25</v>
      </c>
      <c r="BM3" s="9" t="s">
        <v>25</v>
      </c>
      <c r="BN3" s="9" t="s">
        <v>25</v>
      </c>
      <c r="BO3" s="9" t="s">
        <v>25</v>
      </c>
      <c r="BP3" s="9" t="s">
        <v>25</v>
      </c>
      <c r="BQ3" s="9" t="s">
        <v>25</v>
      </c>
      <c r="BR3" s="9" t="s">
        <v>25</v>
      </c>
      <c r="BS3" s="9" t="s">
        <v>25</v>
      </c>
      <c r="BT3" s="9" t="s">
        <v>25</v>
      </c>
      <c r="BU3" s="9" t="s">
        <v>25</v>
      </c>
      <c r="BV3" s="9" t="s">
        <v>25</v>
      </c>
      <c r="BW3" s="9" t="s">
        <v>25</v>
      </c>
      <c r="BX3" s="9" t="s">
        <v>25</v>
      </c>
      <c r="BY3" s="9" t="s">
        <v>25</v>
      </c>
    </row>
    <row r="4" spans="1:77">
      <c r="A4" s="17" t="s">
        <v>15</v>
      </c>
      <c r="B4" s="17" t="s">
        <v>170</v>
      </c>
      <c r="C4" s="17" t="s">
        <v>171</v>
      </c>
      <c r="D4" s="17" t="s">
        <v>172</v>
      </c>
      <c r="E4" s="17">
        <v>137.1</v>
      </c>
      <c r="F4" s="17">
        <v>720</v>
      </c>
      <c r="G4" s="17">
        <v>714</v>
      </c>
      <c r="H4" s="17">
        <v>692.3</v>
      </c>
      <c r="I4" s="17">
        <v>13.3</v>
      </c>
      <c r="J4" s="17">
        <v>97889</v>
      </c>
      <c r="K4" s="17">
        <v>98712</v>
      </c>
      <c r="L4" s="17">
        <v>88515</v>
      </c>
      <c r="M4" s="17">
        <v>89648</v>
      </c>
      <c r="N4" s="17">
        <v>87087</v>
      </c>
      <c r="O4" s="17">
        <v>95600</v>
      </c>
      <c r="P4" s="17">
        <v>19579</v>
      </c>
      <c r="Q4" s="17">
        <v>17553</v>
      </c>
      <c r="R4" s="17">
        <v>1823</v>
      </c>
      <c r="S4" s="17">
        <v>2</v>
      </c>
      <c r="T4" s="17">
        <v>7.1</v>
      </c>
      <c r="U4" s="17">
        <v>37</v>
      </c>
      <c r="V4" s="17">
        <v>36</v>
      </c>
      <c r="W4" s="17">
        <v>251985.8</v>
      </c>
      <c r="X4" s="17">
        <v>62832</v>
      </c>
      <c r="Y4" s="17">
        <v>1091.7</v>
      </c>
      <c r="Z4" s="17">
        <v>167244</v>
      </c>
      <c r="AA4" s="17">
        <v>61316</v>
      </c>
      <c r="AB4" s="17">
        <v>311042</v>
      </c>
      <c r="AC4" s="17">
        <v>3223</v>
      </c>
      <c r="AD4" s="17">
        <v>1</v>
      </c>
      <c r="AE4" s="17">
        <v>79000</v>
      </c>
      <c r="AF4" s="17">
        <v>0</v>
      </c>
      <c r="AG4" s="17">
        <v>1</v>
      </c>
      <c r="AH4" s="17">
        <v>10</v>
      </c>
      <c r="AI4" s="17">
        <v>0</v>
      </c>
      <c r="AJ4" s="17">
        <v>0</v>
      </c>
      <c r="AK4" s="17">
        <v>0</v>
      </c>
      <c r="AL4" s="17">
        <v>14</v>
      </c>
      <c r="AM4" s="17">
        <v>4</v>
      </c>
      <c r="AN4" s="17">
        <v>0</v>
      </c>
      <c r="AO4" s="17">
        <v>0</v>
      </c>
      <c r="AP4" s="17">
        <v>0</v>
      </c>
      <c r="AQ4" s="17">
        <v>158</v>
      </c>
      <c r="AR4" s="17">
        <v>9</v>
      </c>
      <c r="AS4" s="17">
        <v>311</v>
      </c>
      <c r="AT4" s="17">
        <v>87409</v>
      </c>
      <c r="AU4" s="17">
        <v>89254</v>
      </c>
      <c r="AV4" s="17">
        <v>329486.5</v>
      </c>
      <c r="AW4" s="17">
        <v>335595</v>
      </c>
      <c r="AX4" s="17">
        <v>15168.7</v>
      </c>
      <c r="AY4" s="17">
        <v>11886.3</v>
      </c>
      <c r="AZ4" s="17">
        <v>209</v>
      </c>
      <c r="BA4" s="17">
        <v>195</v>
      </c>
      <c r="BB4" s="17">
        <v>95742</v>
      </c>
      <c r="BC4" s="17">
        <v>92606</v>
      </c>
      <c r="BD4" s="17">
        <v>1350</v>
      </c>
      <c r="BE4" s="17">
        <v>588</v>
      </c>
      <c r="BF4" s="17">
        <v>583</v>
      </c>
      <c r="BG4" s="17">
        <v>131922.8</v>
      </c>
      <c r="BH4" s="17">
        <v>40636.9</v>
      </c>
      <c r="BI4" s="17">
        <v>0</v>
      </c>
      <c r="BJ4" s="17">
        <v>0</v>
      </c>
      <c r="BK4" s="17">
        <v>1</v>
      </c>
      <c r="BL4" s="17">
        <v>0</v>
      </c>
      <c r="BM4" s="17">
        <v>1</v>
      </c>
      <c r="BN4" s="17">
        <v>0</v>
      </c>
      <c r="BO4" s="17">
        <v>0</v>
      </c>
      <c r="BP4" s="17">
        <v>0</v>
      </c>
      <c r="BQ4" s="17">
        <v>0</v>
      </c>
      <c r="BR4" s="17">
        <v>0</v>
      </c>
      <c r="BS4" s="17">
        <v>0</v>
      </c>
      <c r="BT4" s="17">
        <v>99</v>
      </c>
      <c r="BU4" s="17">
        <v>87645</v>
      </c>
      <c r="BV4" s="17">
        <v>87637</v>
      </c>
      <c r="BW4" s="17">
        <v>24380601</v>
      </c>
      <c r="BX4" s="17">
        <v>97889</v>
      </c>
      <c r="BY4" s="17">
        <v>1620</v>
      </c>
    </row>
    <row r="5" spans="1:77">
      <c r="A5" s="17" t="s">
        <v>15</v>
      </c>
      <c r="B5" s="17" t="s">
        <v>170</v>
      </c>
      <c r="C5" s="17" t="s">
        <v>171</v>
      </c>
      <c r="D5" s="17" t="s">
        <v>173</v>
      </c>
      <c r="E5" s="17">
        <v>137.1</v>
      </c>
      <c r="F5" s="17">
        <v>744</v>
      </c>
      <c r="G5" s="17">
        <v>744</v>
      </c>
      <c r="H5" s="17">
        <v>702.5</v>
      </c>
      <c r="I5" s="17">
        <v>19.6</v>
      </c>
      <c r="J5" s="17">
        <v>102002</v>
      </c>
      <c r="K5" s="17">
        <v>102002</v>
      </c>
      <c r="L5" s="17">
        <v>88139</v>
      </c>
      <c r="M5" s="17">
        <v>84940</v>
      </c>
      <c r="N5" s="17">
        <v>80872</v>
      </c>
      <c r="O5" s="17">
        <v>86252</v>
      </c>
      <c r="P5" s="17">
        <v>17739</v>
      </c>
      <c r="Q5" s="17">
        <v>15002</v>
      </c>
      <c r="R5" s="17">
        <v>2687</v>
      </c>
      <c r="S5" s="17">
        <v>3</v>
      </c>
      <c r="T5" s="17">
        <v>15.5</v>
      </c>
      <c r="U5" s="17">
        <v>48</v>
      </c>
      <c r="V5" s="17">
        <v>47</v>
      </c>
      <c r="W5" s="17">
        <v>272778.7</v>
      </c>
      <c r="X5" s="17">
        <v>79959.60000000001</v>
      </c>
      <c r="Y5" s="17">
        <v>1465.4</v>
      </c>
      <c r="Z5" s="17">
        <v>205726</v>
      </c>
      <c r="AA5" s="17">
        <v>53724</v>
      </c>
      <c r="AB5" s="17">
        <v>252523</v>
      </c>
      <c r="AC5" s="17">
        <v>5217</v>
      </c>
      <c r="AD5" s="17">
        <v>1</v>
      </c>
      <c r="AE5" s="17">
        <v>66000</v>
      </c>
      <c r="AF5" s="17">
        <v>0</v>
      </c>
      <c r="AG5" s="17">
        <v>0</v>
      </c>
      <c r="AH5" s="17">
        <v>4</v>
      </c>
      <c r="AI5" s="17">
        <v>0</v>
      </c>
      <c r="AJ5" s="17">
        <v>0</v>
      </c>
      <c r="AK5" s="17">
        <v>0</v>
      </c>
      <c r="AL5" s="17">
        <v>11</v>
      </c>
      <c r="AM5" s="17">
        <v>2</v>
      </c>
      <c r="AN5" s="17">
        <v>3</v>
      </c>
      <c r="AO5" s="17">
        <v>3</v>
      </c>
      <c r="AP5" s="17">
        <v>0</v>
      </c>
      <c r="AQ5" s="17">
        <v>256</v>
      </c>
      <c r="AR5" s="17">
        <v>10</v>
      </c>
      <c r="AS5" s="17">
        <v>281</v>
      </c>
      <c r="AT5" s="17">
        <v>81067</v>
      </c>
      <c r="AU5" s="17">
        <v>87363</v>
      </c>
      <c r="AV5" s="17">
        <v>309234.4</v>
      </c>
      <c r="AW5" s="17">
        <v>328484.9</v>
      </c>
      <c r="AX5" s="17">
        <v>17277.2</v>
      </c>
      <c r="AY5" s="17">
        <v>11827.2</v>
      </c>
      <c r="AZ5" s="17">
        <v>166</v>
      </c>
      <c r="BA5" s="17">
        <v>151</v>
      </c>
      <c r="BB5" s="17">
        <v>85077</v>
      </c>
      <c r="BC5" s="17">
        <v>81619</v>
      </c>
      <c r="BD5" s="17">
        <v>587</v>
      </c>
      <c r="BE5" s="17">
        <v>868</v>
      </c>
      <c r="BF5" s="17">
        <v>870</v>
      </c>
      <c r="BG5" s="17">
        <v>150305.9</v>
      </c>
      <c r="BH5" s="17">
        <v>52546</v>
      </c>
      <c r="BI5" s="17">
        <v>0</v>
      </c>
      <c r="BJ5" s="17">
        <v>1</v>
      </c>
      <c r="BK5" s="17">
        <v>0</v>
      </c>
      <c r="BL5" s="17">
        <v>0</v>
      </c>
      <c r="BM5" s="17">
        <v>0</v>
      </c>
      <c r="BN5" s="17">
        <v>0</v>
      </c>
      <c r="BO5" s="17">
        <v>0</v>
      </c>
      <c r="BP5" s="17">
        <v>0</v>
      </c>
      <c r="BQ5" s="17">
        <v>0</v>
      </c>
      <c r="BR5" s="17">
        <v>0</v>
      </c>
      <c r="BS5" s="17">
        <v>0</v>
      </c>
      <c r="BT5" s="17">
        <v>99</v>
      </c>
      <c r="BU5" s="17">
        <v>89736</v>
      </c>
      <c r="BV5" s="17">
        <v>91812</v>
      </c>
      <c r="BW5" s="17">
        <v>30306703</v>
      </c>
      <c r="BX5" s="17">
        <v>102002</v>
      </c>
      <c r="BY5" s="17">
        <v>2913</v>
      </c>
    </row>
    <row r="6" spans="1:77">
      <c r="A6" s="17" t="s">
        <v>15</v>
      </c>
      <c r="B6" s="17" t="s">
        <v>170</v>
      </c>
      <c r="C6" s="17" t="s">
        <v>171</v>
      </c>
      <c r="D6" s="17" t="s">
        <v>174</v>
      </c>
      <c r="E6" s="17">
        <v>137.1</v>
      </c>
      <c r="F6" s="17">
        <v>720</v>
      </c>
      <c r="G6" s="17">
        <v>720</v>
      </c>
      <c r="H6" s="17">
        <v>681.5</v>
      </c>
      <c r="I6" s="17">
        <v>18.6</v>
      </c>
      <c r="J6" s="17">
        <v>98712</v>
      </c>
      <c r="K6" s="17">
        <v>98712</v>
      </c>
      <c r="L6" s="17">
        <v>88801</v>
      </c>
      <c r="M6" s="17">
        <v>84328</v>
      </c>
      <c r="N6" s="17">
        <v>81129</v>
      </c>
      <c r="O6" s="17">
        <v>86263</v>
      </c>
      <c r="P6" s="17">
        <v>18895</v>
      </c>
      <c r="Q6" s="17">
        <v>16380</v>
      </c>
      <c r="R6" s="17">
        <v>2550</v>
      </c>
      <c r="S6" s="17">
        <v>2</v>
      </c>
      <c r="T6" s="17">
        <v>14.7</v>
      </c>
      <c r="U6" s="17">
        <v>48</v>
      </c>
      <c r="V6" s="17">
        <v>45</v>
      </c>
      <c r="W6" s="17">
        <v>269800.1</v>
      </c>
      <c r="X6" s="17">
        <v>63241.6</v>
      </c>
      <c r="Y6" s="17">
        <v>1103.4</v>
      </c>
      <c r="Z6" s="17">
        <v>166424</v>
      </c>
      <c r="AA6" s="17">
        <v>60010</v>
      </c>
      <c r="AB6" s="17">
        <v>243788</v>
      </c>
      <c r="AC6" s="17">
        <v>7297</v>
      </c>
      <c r="AD6" s="17">
        <v>2</v>
      </c>
      <c r="AE6" s="17">
        <v>91000</v>
      </c>
      <c r="AF6" s="17">
        <v>1</v>
      </c>
      <c r="AG6" s="17">
        <v>0</v>
      </c>
      <c r="AH6" s="17">
        <v>10</v>
      </c>
      <c r="AI6" s="17">
        <v>0</v>
      </c>
      <c r="AJ6" s="17">
        <v>1</v>
      </c>
      <c r="AK6" s="17">
        <v>0</v>
      </c>
      <c r="AL6" s="17">
        <v>5</v>
      </c>
      <c r="AM6" s="17">
        <v>1</v>
      </c>
      <c r="AN6" s="17">
        <v>0</v>
      </c>
      <c r="AO6" s="17">
        <v>0</v>
      </c>
      <c r="AP6" s="17">
        <v>0</v>
      </c>
      <c r="AQ6" s="17">
        <v>148</v>
      </c>
      <c r="AR6" s="17">
        <v>11</v>
      </c>
      <c r="AS6" s="17">
        <v>251</v>
      </c>
      <c r="AT6" s="17">
        <v>78859</v>
      </c>
      <c r="AU6" s="17">
        <v>89179</v>
      </c>
      <c r="AV6" s="17">
        <v>300728.2</v>
      </c>
      <c r="AW6" s="17">
        <v>335313</v>
      </c>
      <c r="AX6" s="17">
        <v>16758.3</v>
      </c>
      <c r="AY6" s="17">
        <v>11531.2</v>
      </c>
      <c r="AZ6" s="17">
        <v>179</v>
      </c>
      <c r="BA6" s="17">
        <v>167</v>
      </c>
      <c r="BB6" s="17">
        <v>87881</v>
      </c>
      <c r="BC6" s="17">
        <v>85157</v>
      </c>
      <c r="BD6" s="17">
        <v>708</v>
      </c>
      <c r="BE6" s="17">
        <v>980</v>
      </c>
      <c r="BF6" s="17">
        <v>979</v>
      </c>
      <c r="BG6" s="17">
        <v>148313</v>
      </c>
      <c r="BH6" s="17">
        <v>46780.1</v>
      </c>
      <c r="BI6" s="17">
        <v>1</v>
      </c>
      <c r="BJ6" s="17">
        <v>0</v>
      </c>
      <c r="BK6" s="17">
        <v>0</v>
      </c>
      <c r="BL6" s="17">
        <v>0</v>
      </c>
      <c r="BM6" s="17">
        <v>1</v>
      </c>
      <c r="BN6" s="17">
        <v>0</v>
      </c>
      <c r="BO6" s="17">
        <v>0</v>
      </c>
      <c r="BP6" s="17">
        <v>0</v>
      </c>
      <c r="BQ6" s="17">
        <v>0</v>
      </c>
      <c r="BR6" s="17">
        <v>0</v>
      </c>
      <c r="BS6" s="17">
        <v>0</v>
      </c>
      <c r="BT6" s="17">
        <v>99</v>
      </c>
      <c r="BU6" s="17">
        <v>89319</v>
      </c>
      <c r="BV6" s="17">
        <v>90196</v>
      </c>
      <c r="BW6" s="17">
        <v>26705815</v>
      </c>
      <c r="BX6" s="17">
        <v>98712</v>
      </c>
      <c r="BY6" s="17">
        <v>2398</v>
      </c>
    </row>
    <row r="7" spans="1:77">
      <c r="A7" s="17" t="s">
        <v>15</v>
      </c>
      <c r="B7" s="17" t="s">
        <v>170</v>
      </c>
      <c r="C7" s="17" t="s">
        <v>171</v>
      </c>
      <c r="D7" s="17" t="s">
        <v>175</v>
      </c>
      <c r="E7" s="17">
        <v>137.1</v>
      </c>
      <c r="F7" s="17">
        <v>744</v>
      </c>
      <c r="G7" s="17">
        <v>741</v>
      </c>
      <c r="H7" s="17">
        <v>701.6</v>
      </c>
      <c r="I7" s="17">
        <v>27.2</v>
      </c>
      <c r="J7" s="17">
        <v>101591</v>
      </c>
      <c r="K7" s="17">
        <v>102002</v>
      </c>
      <c r="L7" s="17">
        <v>88152</v>
      </c>
      <c r="M7" s="17">
        <v>86711</v>
      </c>
      <c r="N7" s="17">
        <v>83254</v>
      </c>
      <c r="O7" s="17">
        <v>94209</v>
      </c>
      <c r="P7" s="17">
        <v>21264</v>
      </c>
      <c r="Q7" s="17">
        <v>19441</v>
      </c>
      <c r="R7" s="17">
        <v>3729</v>
      </c>
      <c r="S7" s="17">
        <v>4</v>
      </c>
      <c r="T7" s="17">
        <v>21.3</v>
      </c>
      <c r="U7" s="17">
        <v>55</v>
      </c>
      <c r="V7" s="17">
        <v>52</v>
      </c>
      <c r="W7" s="17">
        <v>221284.2</v>
      </c>
      <c r="X7" s="17">
        <v>64810.6</v>
      </c>
      <c r="Y7" s="17">
        <v>1144.9</v>
      </c>
      <c r="Z7" s="17">
        <v>180484</v>
      </c>
      <c r="AA7" s="17">
        <v>54600</v>
      </c>
      <c r="AB7" s="17">
        <v>243753</v>
      </c>
      <c r="AC7" s="17">
        <v>5312</v>
      </c>
      <c r="AD7" s="17">
        <v>0</v>
      </c>
      <c r="AE7" s="17">
        <v>76000</v>
      </c>
      <c r="AF7" s="17">
        <v>1</v>
      </c>
      <c r="AG7" s="17">
        <v>0</v>
      </c>
      <c r="AH7" s="17">
        <v>9</v>
      </c>
      <c r="AI7" s="17">
        <v>0</v>
      </c>
      <c r="AJ7" s="17">
        <v>1</v>
      </c>
      <c r="AK7" s="17">
        <v>0</v>
      </c>
      <c r="AL7" s="17">
        <v>4</v>
      </c>
      <c r="AM7" s="17">
        <v>1</v>
      </c>
      <c r="AN7" s="17">
        <v>3</v>
      </c>
      <c r="AO7" s="17">
        <v>3</v>
      </c>
      <c r="AP7" s="17">
        <v>1</v>
      </c>
      <c r="AQ7" s="17">
        <v>198</v>
      </c>
      <c r="AR7" s="17">
        <v>9</v>
      </c>
      <c r="AS7" s="17">
        <v>221</v>
      </c>
      <c r="AT7" s="17">
        <v>84466</v>
      </c>
      <c r="AU7" s="17">
        <v>87398</v>
      </c>
      <c r="AV7" s="17">
        <v>321422</v>
      </c>
      <c r="AW7" s="17">
        <v>328616.5</v>
      </c>
      <c r="AX7" s="17">
        <v>11354.6</v>
      </c>
      <c r="AY7" s="17">
        <v>11607.9</v>
      </c>
      <c r="AZ7" s="17">
        <v>300</v>
      </c>
      <c r="BA7" s="17">
        <v>281</v>
      </c>
      <c r="BB7" s="17">
        <v>96576</v>
      </c>
      <c r="BC7" s="17">
        <v>93033</v>
      </c>
      <c r="BD7" s="17">
        <v>1429</v>
      </c>
      <c r="BE7" s="17">
        <v>742</v>
      </c>
      <c r="BF7" s="17">
        <v>772</v>
      </c>
      <c r="BG7" s="17">
        <v>112971</v>
      </c>
      <c r="BH7" s="17">
        <v>43971.6</v>
      </c>
      <c r="BI7" s="17">
        <v>0</v>
      </c>
      <c r="BJ7" s="17">
        <v>0</v>
      </c>
      <c r="BK7" s="17">
        <v>0</v>
      </c>
      <c r="BL7" s="17">
        <v>0</v>
      </c>
      <c r="BM7" s="17">
        <v>0</v>
      </c>
      <c r="BN7" s="17">
        <v>0</v>
      </c>
      <c r="BO7" s="17">
        <v>1</v>
      </c>
      <c r="BP7" s="17">
        <v>0</v>
      </c>
      <c r="BQ7" s="17">
        <v>0</v>
      </c>
      <c r="BR7" s="17">
        <v>0</v>
      </c>
      <c r="BS7" s="17">
        <v>0</v>
      </c>
      <c r="BT7" s="17">
        <v>99</v>
      </c>
      <c r="BU7" s="17">
        <v>87292</v>
      </c>
      <c r="BV7" s="17">
        <v>87138</v>
      </c>
      <c r="BW7" s="17">
        <v>23937559</v>
      </c>
      <c r="BX7" s="17">
        <v>101591</v>
      </c>
      <c r="BY7" s="17">
        <v>3863</v>
      </c>
    </row>
    <row r="8" spans="1:77">
      <c r="A8" s="17" t="s">
        <v>15</v>
      </c>
      <c r="B8" s="17" t="s">
        <v>170</v>
      </c>
      <c r="C8" s="17" t="s">
        <v>171</v>
      </c>
      <c r="D8" s="17" t="s">
        <v>176</v>
      </c>
      <c r="E8" s="17">
        <v>137.1</v>
      </c>
      <c r="F8" s="17">
        <v>744</v>
      </c>
      <c r="G8" s="17">
        <v>744</v>
      </c>
      <c r="H8" s="17">
        <v>710.7</v>
      </c>
      <c r="I8" s="17">
        <v>19.1</v>
      </c>
      <c r="J8" s="17">
        <v>102002</v>
      </c>
      <c r="K8" s="17">
        <v>102002</v>
      </c>
      <c r="L8" s="17">
        <v>91424</v>
      </c>
      <c r="M8" s="17">
        <v>90032</v>
      </c>
      <c r="N8" s="17">
        <v>87527</v>
      </c>
      <c r="O8" s="17">
        <v>94670</v>
      </c>
      <c r="P8" s="17">
        <v>19426</v>
      </c>
      <c r="Q8" s="17">
        <v>17234</v>
      </c>
      <c r="R8" s="17">
        <v>2619</v>
      </c>
      <c r="S8" s="17">
        <v>2</v>
      </c>
      <c r="T8" s="17">
        <v>14</v>
      </c>
      <c r="U8" s="17">
        <v>32</v>
      </c>
      <c r="V8" s="17">
        <v>31</v>
      </c>
      <c r="W8" s="17">
        <v>268254.7</v>
      </c>
      <c r="X8" s="17">
        <v>78893.89999999999</v>
      </c>
      <c r="Y8" s="17">
        <v>1065.3</v>
      </c>
      <c r="Z8" s="17">
        <v>192091</v>
      </c>
      <c r="AA8" s="17">
        <v>54889</v>
      </c>
      <c r="AB8" s="17">
        <v>306311</v>
      </c>
      <c r="AC8" s="17">
        <v>1480</v>
      </c>
      <c r="AD8" s="17">
        <v>2</v>
      </c>
      <c r="AE8" s="17">
        <v>56000</v>
      </c>
      <c r="AF8" s="17">
        <v>1</v>
      </c>
      <c r="AG8" s="17">
        <v>0</v>
      </c>
      <c r="AH8" s="17">
        <v>6</v>
      </c>
      <c r="AI8" s="17">
        <v>0</v>
      </c>
      <c r="AJ8" s="17">
        <v>0</v>
      </c>
      <c r="AK8" s="17">
        <v>0</v>
      </c>
      <c r="AL8" s="17">
        <v>5</v>
      </c>
      <c r="AM8" s="17">
        <v>0</v>
      </c>
      <c r="AN8" s="17">
        <v>1</v>
      </c>
      <c r="AO8" s="17">
        <v>1</v>
      </c>
      <c r="AP8" s="17">
        <v>2</v>
      </c>
      <c r="AQ8" s="17">
        <v>121</v>
      </c>
      <c r="AR8" s="17">
        <v>10</v>
      </c>
      <c r="AS8" s="17">
        <v>191</v>
      </c>
      <c r="AT8" s="17">
        <v>86793</v>
      </c>
      <c r="AU8" s="17">
        <v>91102</v>
      </c>
      <c r="AV8" s="17">
        <v>330981.6</v>
      </c>
      <c r="AW8" s="17">
        <v>342543.5</v>
      </c>
      <c r="AX8" s="17">
        <v>16048.6</v>
      </c>
      <c r="AY8" s="17">
        <v>11694.1</v>
      </c>
      <c r="AZ8" s="17">
        <v>169</v>
      </c>
      <c r="BA8" s="17">
        <v>156</v>
      </c>
      <c r="BB8" s="17">
        <v>95196</v>
      </c>
      <c r="BC8" s="17">
        <v>92043</v>
      </c>
      <c r="BD8" s="17">
        <v>1181</v>
      </c>
      <c r="BE8" s="17">
        <v>868</v>
      </c>
      <c r="BF8" s="17">
        <v>855</v>
      </c>
      <c r="BG8" s="17">
        <v>154797</v>
      </c>
      <c r="BH8" s="17">
        <v>58229.3</v>
      </c>
      <c r="BI8" s="17">
        <v>0</v>
      </c>
      <c r="BJ8" s="17">
        <v>0</v>
      </c>
      <c r="BK8" s="17">
        <v>0</v>
      </c>
      <c r="BL8" s="17">
        <v>0</v>
      </c>
      <c r="BM8" s="17">
        <v>1</v>
      </c>
      <c r="BN8" s="17">
        <v>0</v>
      </c>
      <c r="BO8" s="17">
        <v>0</v>
      </c>
      <c r="BP8" s="17">
        <v>0</v>
      </c>
      <c r="BQ8" s="17">
        <v>0</v>
      </c>
      <c r="BR8" s="17">
        <v>0</v>
      </c>
      <c r="BS8" s="17">
        <v>0</v>
      </c>
      <c r="BT8" s="17">
        <v>99</v>
      </c>
      <c r="BU8" s="17">
        <v>92975</v>
      </c>
      <c r="BV8" s="17">
        <v>93639</v>
      </c>
      <c r="BW8" s="17">
        <v>35960460</v>
      </c>
      <c r="BX8" s="17">
        <v>102002</v>
      </c>
      <c r="BY8" s="17">
        <v>2699</v>
      </c>
    </row>
    <row r="9" spans="1:77">
      <c r="A9" s="17" t="s">
        <v>15</v>
      </c>
      <c r="B9" s="17" t="s">
        <v>170</v>
      </c>
      <c r="C9" s="17" t="s">
        <v>171</v>
      </c>
      <c r="D9" s="17" t="s">
        <v>177</v>
      </c>
      <c r="E9" s="17">
        <v>137.1</v>
      </c>
      <c r="F9" s="17">
        <v>720</v>
      </c>
      <c r="G9" s="17">
        <v>711</v>
      </c>
      <c r="H9" s="17">
        <v>664.5</v>
      </c>
      <c r="I9" s="17">
        <v>30.2</v>
      </c>
      <c r="J9" s="17">
        <v>97478</v>
      </c>
      <c r="K9" s="17">
        <v>98712</v>
      </c>
      <c r="L9" s="17">
        <v>85234</v>
      </c>
      <c r="M9" s="17">
        <v>84182</v>
      </c>
      <c r="N9" s="17">
        <v>81854</v>
      </c>
      <c r="O9" s="17">
        <v>89479</v>
      </c>
      <c r="P9" s="17">
        <v>19996</v>
      </c>
      <c r="Q9" s="17">
        <v>18334</v>
      </c>
      <c r="R9" s="17">
        <v>4140</v>
      </c>
      <c r="S9" s="17">
        <v>4</v>
      </c>
      <c r="T9" s="17">
        <v>21.6</v>
      </c>
      <c r="U9" s="17">
        <v>46</v>
      </c>
      <c r="V9" s="17">
        <v>43</v>
      </c>
      <c r="W9" s="17">
        <v>226098.2</v>
      </c>
      <c r="X9" s="17">
        <v>50616</v>
      </c>
      <c r="Y9" s="17">
        <v>1375.5</v>
      </c>
      <c r="Z9" s="17">
        <v>148807</v>
      </c>
      <c r="AA9" s="17">
        <v>59115</v>
      </c>
      <c r="AB9" s="17">
        <v>289576</v>
      </c>
      <c r="AC9" s="17">
        <v>3669</v>
      </c>
      <c r="AD9" s="17">
        <v>0</v>
      </c>
      <c r="AE9" s="17">
        <v>55000</v>
      </c>
      <c r="AF9" s="17">
        <v>0</v>
      </c>
      <c r="AG9" s="17">
        <v>1</v>
      </c>
      <c r="AH9" s="17">
        <v>9</v>
      </c>
      <c r="AI9" s="17">
        <v>0</v>
      </c>
      <c r="AJ9" s="17">
        <v>0</v>
      </c>
      <c r="AK9" s="17">
        <v>0</v>
      </c>
      <c r="AL9" s="17">
        <v>14</v>
      </c>
      <c r="AM9" s="17">
        <v>4</v>
      </c>
      <c r="AN9" s="17">
        <v>2</v>
      </c>
      <c r="AO9" s="17">
        <v>2</v>
      </c>
      <c r="AP9" s="17">
        <v>2</v>
      </c>
      <c r="AQ9" s="17">
        <v>120</v>
      </c>
      <c r="AR9" s="17">
        <v>9</v>
      </c>
      <c r="AS9" s="17">
        <v>161</v>
      </c>
      <c r="AT9" s="17">
        <v>79865</v>
      </c>
      <c r="AU9" s="17">
        <v>86061</v>
      </c>
      <c r="AV9" s="17">
        <v>300900.3</v>
      </c>
      <c r="AW9" s="17">
        <v>323589.4</v>
      </c>
      <c r="AX9" s="17">
        <v>13488.8</v>
      </c>
      <c r="AY9" s="17">
        <v>11990.8</v>
      </c>
      <c r="AZ9" s="17">
        <v>151</v>
      </c>
      <c r="BA9" s="17">
        <v>140</v>
      </c>
      <c r="BB9" s="17">
        <v>89804</v>
      </c>
      <c r="BC9" s="17">
        <v>86335</v>
      </c>
      <c r="BD9" s="17">
        <v>1211</v>
      </c>
      <c r="BE9" s="17">
        <v>644</v>
      </c>
      <c r="BF9" s="17">
        <v>676</v>
      </c>
      <c r="BG9" s="17">
        <v>116619.5</v>
      </c>
      <c r="BH9" s="17">
        <v>35125</v>
      </c>
      <c r="BI9" s="17">
        <v>1</v>
      </c>
      <c r="BJ9" s="17">
        <v>0</v>
      </c>
      <c r="BK9" s="17">
        <v>1</v>
      </c>
      <c r="BL9" s="17">
        <v>0</v>
      </c>
      <c r="BM9" s="17">
        <v>0</v>
      </c>
      <c r="BN9" s="17">
        <v>0</v>
      </c>
      <c r="BO9" s="17">
        <v>0</v>
      </c>
      <c r="BP9" s="17">
        <v>0</v>
      </c>
      <c r="BQ9" s="17">
        <v>0</v>
      </c>
      <c r="BR9" s="17">
        <v>0</v>
      </c>
      <c r="BS9" s="17">
        <v>0</v>
      </c>
      <c r="BT9" s="17">
        <v>99</v>
      </c>
      <c r="BU9" s="17">
        <v>85101</v>
      </c>
      <c r="BV9" s="17">
        <v>86567</v>
      </c>
      <c r="BW9" s="17">
        <v>26609951</v>
      </c>
      <c r="BX9" s="17">
        <v>97478</v>
      </c>
      <c r="BY9" s="17">
        <v>4173</v>
      </c>
    </row>
    <row r="10" spans="1:77">
      <c r="A10" s="17" t="s">
        <v>15</v>
      </c>
      <c r="B10" s="17" t="s">
        <v>170</v>
      </c>
      <c r="C10" s="17" t="s">
        <v>178</v>
      </c>
      <c r="D10" s="17" t="s">
        <v>172</v>
      </c>
      <c r="E10" s="17">
        <v>188.9</v>
      </c>
      <c r="F10" s="17">
        <v>720</v>
      </c>
      <c r="G10" s="17">
        <v>718</v>
      </c>
      <c r="H10" s="17">
        <v>675.1</v>
      </c>
      <c r="I10" s="17">
        <v>31</v>
      </c>
      <c r="J10" s="17">
        <v>135630</v>
      </c>
      <c r="K10" s="17">
        <v>136008</v>
      </c>
      <c r="L10" s="17">
        <v>117160</v>
      </c>
      <c r="M10" s="17">
        <v>101595</v>
      </c>
      <c r="N10" s="17">
        <v>98478</v>
      </c>
      <c r="O10" s="17">
        <v>110890</v>
      </c>
      <c r="P10" s="17">
        <v>24227</v>
      </c>
      <c r="Q10" s="17">
        <v>19946</v>
      </c>
      <c r="R10" s="17">
        <v>5856</v>
      </c>
      <c r="S10" s="17">
        <v>5</v>
      </c>
      <c r="T10" s="17">
        <v>28.6</v>
      </c>
      <c r="U10" s="17">
        <v>40</v>
      </c>
      <c r="V10" s="17">
        <v>34</v>
      </c>
      <c r="W10" s="17">
        <v>293950</v>
      </c>
      <c r="X10" s="17">
        <v>67780.39999999999</v>
      </c>
      <c r="Y10" s="17">
        <v>1112.1</v>
      </c>
      <c r="Z10" s="17">
        <v>202909</v>
      </c>
      <c r="AA10" s="17">
        <v>69227</v>
      </c>
      <c r="AB10" s="17">
        <v>349419</v>
      </c>
      <c r="AC10" s="17">
        <v>17173</v>
      </c>
      <c r="AD10" s="17">
        <v>2</v>
      </c>
      <c r="AE10" s="17">
        <v>61000</v>
      </c>
      <c r="AF10" s="17">
        <v>0</v>
      </c>
      <c r="AG10" s="17">
        <v>0</v>
      </c>
      <c r="AH10" s="17">
        <v>6</v>
      </c>
      <c r="AI10" s="17">
        <v>0</v>
      </c>
      <c r="AJ10" s="17">
        <v>0</v>
      </c>
      <c r="AK10" s="17">
        <v>0</v>
      </c>
      <c r="AL10" s="17">
        <v>6</v>
      </c>
      <c r="AM10" s="17">
        <v>2</v>
      </c>
      <c r="AN10" s="17">
        <v>3</v>
      </c>
      <c r="AO10" s="17">
        <v>3</v>
      </c>
      <c r="AP10" s="17">
        <v>1</v>
      </c>
      <c r="AQ10" s="17">
        <v>187</v>
      </c>
      <c r="AR10" s="17">
        <v>11</v>
      </c>
      <c r="AS10" s="17">
        <v>215</v>
      </c>
      <c r="AT10" s="17">
        <v>99647</v>
      </c>
      <c r="AU10" s="17">
        <v>116251</v>
      </c>
      <c r="AV10" s="17">
        <v>367581.1</v>
      </c>
      <c r="AW10" s="17">
        <v>437103.8</v>
      </c>
      <c r="AX10" s="17">
        <v>20037.9</v>
      </c>
      <c r="AY10" s="17">
        <v>15943.3</v>
      </c>
      <c r="AZ10" s="17">
        <v>167</v>
      </c>
      <c r="BA10" s="17">
        <v>142</v>
      </c>
      <c r="BB10" s="17">
        <v>108759</v>
      </c>
      <c r="BC10" s="17">
        <v>107531</v>
      </c>
      <c r="BD10" s="17">
        <v>1079</v>
      </c>
      <c r="BE10" s="17">
        <v>574</v>
      </c>
      <c r="BF10" s="17">
        <v>662</v>
      </c>
      <c r="BG10" s="17">
        <v>161218.5</v>
      </c>
      <c r="BH10" s="17">
        <v>73012.8</v>
      </c>
      <c r="BI10" s="17">
        <v>0</v>
      </c>
      <c r="BJ10" s="17">
        <v>1</v>
      </c>
      <c r="BK10" s="17">
        <v>1</v>
      </c>
      <c r="BL10" s="17">
        <v>1</v>
      </c>
      <c r="BM10" s="17">
        <v>1</v>
      </c>
      <c r="BN10" s="17">
        <v>0</v>
      </c>
      <c r="BO10" s="17">
        <v>0</v>
      </c>
      <c r="BP10" s="17">
        <v>0</v>
      </c>
      <c r="BQ10" s="17">
        <v>0</v>
      </c>
      <c r="BR10" s="17">
        <v>0</v>
      </c>
      <c r="BS10" s="17">
        <v>0</v>
      </c>
      <c r="BT10" s="17">
        <v>17</v>
      </c>
      <c r="BU10" s="17">
        <v>119412</v>
      </c>
      <c r="BV10" s="17">
        <v>107510</v>
      </c>
      <c r="BW10" s="17">
        <v>40574219</v>
      </c>
      <c r="BX10" s="17">
        <v>135630</v>
      </c>
      <c r="BY10" s="17">
        <v>5356</v>
      </c>
    </row>
    <row r="11" spans="1:77">
      <c r="A11" s="17" t="s">
        <v>15</v>
      </c>
      <c r="B11" s="17" t="s">
        <v>170</v>
      </c>
      <c r="C11" s="17" t="s">
        <v>178</v>
      </c>
      <c r="D11" s="17" t="s">
        <v>173</v>
      </c>
      <c r="E11" s="17">
        <v>188.9</v>
      </c>
      <c r="F11" s="17">
        <v>744</v>
      </c>
      <c r="G11" s="17">
        <v>690</v>
      </c>
      <c r="H11" s="17">
        <v>630.7</v>
      </c>
      <c r="I11" s="17">
        <v>45.8</v>
      </c>
      <c r="J11" s="17">
        <v>130341</v>
      </c>
      <c r="K11" s="17">
        <v>140542</v>
      </c>
      <c r="L11" s="17">
        <v>118660</v>
      </c>
      <c r="M11" s="17">
        <v>98372</v>
      </c>
      <c r="N11" s="17">
        <v>96839</v>
      </c>
      <c r="O11" s="17">
        <v>102676</v>
      </c>
      <c r="P11" s="17">
        <v>19541</v>
      </c>
      <c r="Q11" s="17">
        <v>16926</v>
      </c>
      <c r="R11" s="17">
        <v>8652</v>
      </c>
      <c r="S11" s="17">
        <v>5</v>
      </c>
      <c r="T11" s="17">
        <v>40.5</v>
      </c>
      <c r="U11" s="17">
        <v>44</v>
      </c>
      <c r="V11" s="17">
        <v>33</v>
      </c>
      <c r="W11" s="17">
        <v>350205.1</v>
      </c>
      <c r="X11" s="17">
        <v>97181.8</v>
      </c>
      <c r="Y11" s="17">
        <v>1212.1</v>
      </c>
      <c r="Z11" s="17">
        <v>176546</v>
      </c>
      <c r="AA11" s="17">
        <v>62330</v>
      </c>
      <c r="AB11" s="17">
        <v>375349</v>
      </c>
      <c r="AC11" s="17">
        <v>20499</v>
      </c>
      <c r="AD11" s="17">
        <v>4</v>
      </c>
      <c r="AE11" s="17">
        <v>69000</v>
      </c>
      <c r="AF11" s="17">
        <v>1</v>
      </c>
      <c r="AG11" s="17">
        <v>0</v>
      </c>
      <c r="AH11" s="17">
        <v>4</v>
      </c>
      <c r="AI11" s="17">
        <v>0</v>
      </c>
      <c r="AJ11" s="17">
        <v>0</v>
      </c>
      <c r="AK11" s="17">
        <v>0</v>
      </c>
      <c r="AL11" s="17">
        <v>5</v>
      </c>
      <c r="AM11" s="17">
        <v>1</v>
      </c>
      <c r="AN11" s="17">
        <v>0</v>
      </c>
      <c r="AO11" s="17">
        <v>0</v>
      </c>
      <c r="AP11" s="17">
        <v>0</v>
      </c>
      <c r="AQ11" s="17">
        <v>197</v>
      </c>
      <c r="AR11" s="17">
        <v>21</v>
      </c>
      <c r="AS11" s="17">
        <v>185</v>
      </c>
      <c r="AT11" s="17">
        <v>96710</v>
      </c>
      <c r="AU11" s="17">
        <v>118595</v>
      </c>
      <c r="AV11" s="17">
        <v>355792.8</v>
      </c>
      <c r="AW11" s="17">
        <v>445917.2</v>
      </c>
      <c r="AX11" s="17">
        <v>18442.1</v>
      </c>
      <c r="AY11" s="17">
        <v>15809.6</v>
      </c>
      <c r="AZ11" s="17">
        <v>174</v>
      </c>
      <c r="BA11" s="17">
        <v>142</v>
      </c>
      <c r="BB11" s="17">
        <v>102899</v>
      </c>
      <c r="BC11" s="17">
        <v>101308</v>
      </c>
      <c r="BD11" s="17">
        <v>846</v>
      </c>
      <c r="BE11" s="17">
        <v>616</v>
      </c>
      <c r="BF11" s="17">
        <v>696</v>
      </c>
      <c r="BG11" s="17">
        <v>188788.5</v>
      </c>
      <c r="BH11" s="17">
        <v>87101.10000000001</v>
      </c>
      <c r="BI11" s="17">
        <v>0</v>
      </c>
      <c r="BJ11" s="17">
        <v>0</v>
      </c>
      <c r="BK11" s="17">
        <v>1</v>
      </c>
      <c r="BL11" s="17">
        <v>1</v>
      </c>
      <c r="BM11" s="17">
        <v>0</v>
      </c>
      <c r="BN11" s="17">
        <v>0</v>
      </c>
      <c r="BO11" s="17">
        <v>0</v>
      </c>
      <c r="BP11" s="17">
        <v>0</v>
      </c>
      <c r="BQ11" s="17">
        <v>0</v>
      </c>
      <c r="BR11" s="17">
        <v>0</v>
      </c>
      <c r="BS11" s="17">
        <v>0</v>
      </c>
      <c r="BT11" s="17">
        <v>12</v>
      </c>
      <c r="BU11" s="17">
        <v>120898</v>
      </c>
      <c r="BV11" s="17">
        <v>110663</v>
      </c>
      <c r="BW11" s="17">
        <v>51573641</v>
      </c>
      <c r="BX11" s="17">
        <v>130341</v>
      </c>
      <c r="BY11" s="17">
        <v>8040</v>
      </c>
    </row>
    <row r="12" spans="1:77">
      <c r="A12" s="17" t="s">
        <v>15</v>
      </c>
      <c r="B12" s="17" t="s">
        <v>170</v>
      </c>
      <c r="C12" s="17" t="s">
        <v>178</v>
      </c>
      <c r="D12" s="17" t="s">
        <v>174</v>
      </c>
      <c r="E12" s="17">
        <v>188.9</v>
      </c>
      <c r="F12" s="17">
        <v>720</v>
      </c>
      <c r="G12" s="17">
        <v>718</v>
      </c>
      <c r="H12" s="17">
        <v>669.9</v>
      </c>
      <c r="I12" s="17">
        <v>37.1</v>
      </c>
      <c r="J12" s="17">
        <v>135630</v>
      </c>
      <c r="K12" s="17">
        <v>136008</v>
      </c>
      <c r="L12" s="17">
        <v>120521</v>
      </c>
      <c r="M12" s="17">
        <v>96232</v>
      </c>
      <c r="N12" s="17">
        <v>91848</v>
      </c>
      <c r="O12" s="17">
        <v>97224</v>
      </c>
      <c r="P12" s="17">
        <v>21417</v>
      </c>
      <c r="Q12" s="17">
        <v>17596</v>
      </c>
      <c r="R12" s="17">
        <v>7008</v>
      </c>
      <c r="S12" s="17">
        <v>4</v>
      </c>
      <c r="T12" s="17">
        <v>32.6</v>
      </c>
      <c r="U12" s="17">
        <v>36</v>
      </c>
      <c r="V12" s="17">
        <v>31</v>
      </c>
      <c r="W12" s="17">
        <v>321487.9</v>
      </c>
      <c r="X12" s="17">
        <v>71503.8</v>
      </c>
      <c r="Y12" s="17">
        <v>1098.9</v>
      </c>
      <c r="Z12" s="17">
        <v>174177</v>
      </c>
      <c r="AA12" s="17">
        <v>54970</v>
      </c>
      <c r="AB12" s="17">
        <v>368624</v>
      </c>
      <c r="AC12" s="17">
        <v>28075</v>
      </c>
      <c r="AD12" s="17">
        <v>2</v>
      </c>
      <c r="AE12" s="17">
        <v>62000</v>
      </c>
      <c r="AF12" s="17">
        <v>1</v>
      </c>
      <c r="AG12" s="17">
        <v>0</v>
      </c>
      <c r="AH12" s="17">
        <v>4</v>
      </c>
      <c r="AI12" s="17">
        <v>0</v>
      </c>
      <c r="AJ12" s="17">
        <v>0</v>
      </c>
      <c r="AK12" s="17">
        <v>0</v>
      </c>
      <c r="AL12" s="17">
        <v>5</v>
      </c>
      <c r="AM12" s="17">
        <v>0</v>
      </c>
      <c r="AN12" s="17">
        <v>2</v>
      </c>
      <c r="AO12" s="17">
        <v>1</v>
      </c>
      <c r="AP12" s="17">
        <v>1</v>
      </c>
      <c r="AQ12" s="17">
        <v>194</v>
      </c>
      <c r="AR12" s="17">
        <v>21</v>
      </c>
      <c r="AS12" s="17">
        <v>155</v>
      </c>
      <c r="AT12" s="17">
        <v>93443</v>
      </c>
      <c r="AU12" s="17">
        <v>119908</v>
      </c>
      <c r="AV12" s="17">
        <v>341097.4</v>
      </c>
      <c r="AW12" s="17">
        <v>450854.1</v>
      </c>
      <c r="AX12" s="17">
        <v>17509.3</v>
      </c>
      <c r="AY12" s="17">
        <v>15920</v>
      </c>
      <c r="AZ12" s="17">
        <v>150</v>
      </c>
      <c r="BA12" s="17">
        <v>124</v>
      </c>
      <c r="BB12" s="17">
        <v>98097</v>
      </c>
      <c r="BC12" s="17">
        <v>96415</v>
      </c>
      <c r="BD12" s="17">
        <v>1343</v>
      </c>
      <c r="BE12" s="17">
        <v>630</v>
      </c>
      <c r="BF12" s="17">
        <v>704</v>
      </c>
      <c r="BG12" s="17">
        <v>190497.7</v>
      </c>
      <c r="BH12" s="17">
        <v>86054.39999999999</v>
      </c>
      <c r="BI12" s="17">
        <v>0</v>
      </c>
      <c r="BJ12" s="17">
        <v>0</v>
      </c>
      <c r="BK12" s="17">
        <v>0</v>
      </c>
      <c r="BL12" s="17">
        <v>1</v>
      </c>
      <c r="BM12" s="17">
        <v>1</v>
      </c>
      <c r="BN12" s="17">
        <v>0</v>
      </c>
      <c r="BO12" s="17">
        <v>0</v>
      </c>
      <c r="BP12" s="17">
        <v>0</v>
      </c>
      <c r="BQ12" s="17">
        <v>0</v>
      </c>
      <c r="BR12" s="17">
        <v>0</v>
      </c>
      <c r="BS12" s="17">
        <v>0</v>
      </c>
      <c r="BT12" s="17">
        <v>18</v>
      </c>
      <c r="BU12" s="17">
        <v>119591</v>
      </c>
      <c r="BV12" s="17">
        <v>108329</v>
      </c>
      <c r="BW12" s="17">
        <v>44645372</v>
      </c>
      <c r="BX12" s="17">
        <v>135630</v>
      </c>
      <c r="BY12" s="17">
        <v>6878</v>
      </c>
    </row>
    <row r="13" spans="1:77">
      <c r="A13" s="17" t="s">
        <v>15</v>
      </c>
      <c r="B13" s="17" t="s">
        <v>170</v>
      </c>
      <c r="C13" s="17" t="s">
        <v>178</v>
      </c>
      <c r="D13" s="17" t="s">
        <v>175</v>
      </c>
      <c r="E13" s="17">
        <v>188.9</v>
      </c>
      <c r="F13" s="17">
        <v>744</v>
      </c>
      <c r="G13" s="17">
        <v>737</v>
      </c>
      <c r="H13" s="17">
        <v>655.4</v>
      </c>
      <c r="I13" s="17">
        <v>69.3</v>
      </c>
      <c r="J13" s="17">
        <v>139219</v>
      </c>
      <c r="K13" s="17">
        <v>140542</v>
      </c>
      <c r="L13" s="17">
        <v>122135</v>
      </c>
      <c r="M13" s="17">
        <v>101413</v>
      </c>
      <c r="N13" s="17">
        <v>97731</v>
      </c>
      <c r="O13" s="17">
        <v>108037</v>
      </c>
      <c r="P13" s="17">
        <v>20571</v>
      </c>
      <c r="Q13" s="17">
        <v>17916</v>
      </c>
      <c r="R13" s="17">
        <v>13091</v>
      </c>
      <c r="S13" s="17">
        <v>6</v>
      </c>
      <c r="T13" s="17">
        <v>65.7</v>
      </c>
      <c r="U13" s="17">
        <v>56</v>
      </c>
      <c r="V13" s="17">
        <v>44</v>
      </c>
      <c r="W13" s="17">
        <v>350472.9</v>
      </c>
      <c r="X13" s="17">
        <v>93258.3</v>
      </c>
      <c r="Y13" s="17">
        <v>1434.2</v>
      </c>
      <c r="Z13" s="17">
        <v>204288</v>
      </c>
      <c r="AA13" s="17">
        <v>57701</v>
      </c>
      <c r="AB13" s="17">
        <v>356252</v>
      </c>
      <c r="AC13" s="17">
        <v>22870</v>
      </c>
      <c r="AD13" s="17">
        <v>2</v>
      </c>
      <c r="AE13" s="17">
        <v>68000</v>
      </c>
      <c r="AF13" s="17">
        <v>0</v>
      </c>
      <c r="AG13" s="17">
        <v>1</v>
      </c>
      <c r="AH13" s="17">
        <v>6</v>
      </c>
      <c r="AI13" s="17">
        <v>0</v>
      </c>
      <c r="AJ13" s="17">
        <v>1</v>
      </c>
      <c r="AK13" s="17">
        <v>0</v>
      </c>
      <c r="AL13" s="17">
        <v>7</v>
      </c>
      <c r="AM13" s="17">
        <v>0</v>
      </c>
      <c r="AN13" s="17">
        <v>1</v>
      </c>
      <c r="AO13" s="17">
        <v>1</v>
      </c>
      <c r="AP13" s="17">
        <v>0</v>
      </c>
      <c r="AQ13" s="17">
        <v>129</v>
      </c>
      <c r="AR13" s="17">
        <v>15</v>
      </c>
      <c r="AS13" s="17">
        <v>125</v>
      </c>
      <c r="AT13" s="17">
        <v>95686</v>
      </c>
      <c r="AU13" s="17">
        <v>120914</v>
      </c>
      <c r="AV13" s="17">
        <v>355004.6</v>
      </c>
      <c r="AW13" s="17">
        <v>454636.6</v>
      </c>
      <c r="AX13" s="17">
        <v>21552.3</v>
      </c>
      <c r="AY13" s="17">
        <v>15764.7</v>
      </c>
      <c r="AZ13" s="17">
        <v>159</v>
      </c>
      <c r="BA13" s="17">
        <v>128</v>
      </c>
      <c r="BB13" s="17">
        <v>105180</v>
      </c>
      <c r="BC13" s="17">
        <v>101093</v>
      </c>
      <c r="BD13" s="17">
        <v>720</v>
      </c>
      <c r="BE13" s="17">
        <v>658</v>
      </c>
      <c r="BF13" s="17">
        <v>772</v>
      </c>
      <c r="BG13" s="17">
        <v>179819.6</v>
      </c>
      <c r="BH13" s="17">
        <v>82831.7</v>
      </c>
      <c r="BI13" s="17">
        <v>0</v>
      </c>
      <c r="BJ13" s="17">
        <v>0</v>
      </c>
      <c r="BK13" s="17">
        <v>0</v>
      </c>
      <c r="BL13" s="17">
        <v>1</v>
      </c>
      <c r="BM13" s="17">
        <v>1</v>
      </c>
      <c r="BN13" s="17">
        <v>0</v>
      </c>
      <c r="BO13" s="17">
        <v>0</v>
      </c>
      <c r="BP13" s="17">
        <v>0</v>
      </c>
      <c r="BQ13" s="17">
        <v>0</v>
      </c>
      <c r="BR13" s="17">
        <v>0</v>
      </c>
      <c r="BS13" s="17">
        <v>0</v>
      </c>
      <c r="BT13" s="17">
        <v>12</v>
      </c>
      <c r="BU13" s="17">
        <v>123620</v>
      </c>
      <c r="BV13" s="17">
        <v>113701</v>
      </c>
      <c r="BW13" s="17">
        <v>53958022</v>
      </c>
      <c r="BX13" s="17">
        <v>139219</v>
      </c>
      <c r="BY13" s="17">
        <v>13208</v>
      </c>
    </row>
    <row r="14" spans="1:77">
      <c r="A14" s="17" t="s">
        <v>15</v>
      </c>
      <c r="B14" s="17" t="s">
        <v>170</v>
      </c>
      <c r="C14" s="17" t="s">
        <v>178</v>
      </c>
      <c r="D14" s="17" t="s">
        <v>176</v>
      </c>
      <c r="E14" s="17">
        <v>188.9</v>
      </c>
      <c r="F14" s="17">
        <v>744</v>
      </c>
      <c r="G14" s="17">
        <v>674</v>
      </c>
      <c r="H14" s="17">
        <v>603.4</v>
      </c>
      <c r="I14" s="17">
        <v>53.5</v>
      </c>
      <c r="J14" s="17">
        <v>127319</v>
      </c>
      <c r="K14" s="17">
        <v>140542</v>
      </c>
      <c r="L14" s="17">
        <v>109907</v>
      </c>
      <c r="M14" s="17">
        <v>90236</v>
      </c>
      <c r="N14" s="17">
        <v>86596</v>
      </c>
      <c r="O14" s="17">
        <v>97767</v>
      </c>
      <c r="P14" s="17">
        <v>22655</v>
      </c>
      <c r="Q14" s="17">
        <v>18611</v>
      </c>
      <c r="R14" s="17">
        <v>10106</v>
      </c>
      <c r="S14" s="17">
        <v>4</v>
      </c>
      <c r="T14" s="17">
        <v>46.8</v>
      </c>
      <c r="U14" s="17">
        <v>39</v>
      </c>
      <c r="V14" s="17">
        <v>37</v>
      </c>
      <c r="W14" s="17">
        <v>293787.6</v>
      </c>
      <c r="X14" s="17">
        <v>89718.10000000001</v>
      </c>
      <c r="Y14" s="17">
        <v>1404.1</v>
      </c>
      <c r="Z14" s="17">
        <v>164589</v>
      </c>
      <c r="AA14" s="17">
        <v>62319</v>
      </c>
      <c r="AB14" s="17">
        <v>347920</v>
      </c>
      <c r="AC14" s="17">
        <v>23073</v>
      </c>
      <c r="AD14" s="17">
        <v>3</v>
      </c>
      <c r="AE14" s="17">
        <v>69000</v>
      </c>
      <c r="AF14" s="17">
        <v>0</v>
      </c>
      <c r="AG14" s="17">
        <v>1</v>
      </c>
      <c r="AH14" s="17">
        <v>5</v>
      </c>
      <c r="AI14" s="17">
        <v>1</v>
      </c>
      <c r="AJ14" s="17">
        <v>0</v>
      </c>
      <c r="AK14" s="17">
        <v>0</v>
      </c>
      <c r="AL14" s="17">
        <v>8</v>
      </c>
      <c r="AM14" s="17">
        <v>1</v>
      </c>
      <c r="AN14" s="17">
        <v>0</v>
      </c>
      <c r="AO14" s="17">
        <v>0</v>
      </c>
      <c r="AP14" s="17">
        <v>0</v>
      </c>
      <c r="AQ14" s="17">
        <v>212</v>
      </c>
      <c r="AR14" s="17">
        <v>32</v>
      </c>
      <c r="AS14" s="17">
        <v>95</v>
      </c>
      <c r="AT14" s="17">
        <v>87463</v>
      </c>
      <c r="AU14" s="17">
        <v>110393</v>
      </c>
      <c r="AV14" s="17">
        <v>324045</v>
      </c>
      <c r="AW14" s="17">
        <v>415077.7</v>
      </c>
      <c r="AX14" s="17">
        <v>17217.2</v>
      </c>
      <c r="AY14" s="17">
        <v>16383.2</v>
      </c>
      <c r="AZ14" s="17">
        <v>157</v>
      </c>
      <c r="BA14" s="17">
        <v>131</v>
      </c>
      <c r="BB14" s="17">
        <v>94985</v>
      </c>
      <c r="BC14" s="17">
        <v>92164</v>
      </c>
      <c r="BD14" s="17">
        <v>1526</v>
      </c>
      <c r="BE14" s="17">
        <v>560</v>
      </c>
      <c r="BF14" s="17">
        <v>665</v>
      </c>
      <c r="BG14" s="17">
        <v>153621.7</v>
      </c>
      <c r="BH14" s="17">
        <v>72743.60000000001</v>
      </c>
      <c r="BI14" s="17">
        <v>0</v>
      </c>
      <c r="BJ14" s="17">
        <v>0</v>
      </c>
      <c r="BK14" s="17">
        <v>0</v>
      </c>
      <c r="BL14" s="17">
        <v>1</v>
      </c>
      <c r="BM14" s="17">
        <v>0</v>
      </c>
      <c r="BN14" s="17">
        <v>0</v>
      </c>
      <c r="BO14" s="17">
        <v>0</v>
      </c>
      <c r="BP14" s="17">
        <v>0</v>
      </c>
      <c r="BQ14" s="17">
        <v>0</v>
      </c>
      <c r="BR14" s="17">
        <v>0</v>
      </c>
      <c r="BS14" s="17">
        <v>0</v>
      </c>
      <c r="BT14" s="17">
        <v>10</v>
      </c>
      <c r="BU14" s="17">
        <v>111815</v>
      </c>
      <c r="BV14" s="17">
        <v>102323</v>
      </c>
      <c r="BW14" s="17">
        <v>35614658</v>
      </c>
      <c r="BX14" s="17">
        <v>127319</v>
      </c>
      <c r="BY14" s="17">
        <v>8914</v>
      </c>
    </row>
    <row r="15" spans="1:77">
      <c r="A15" s="17" t="s">
        <v>15</v>
      </c>
      <c r="B15" s="17" t="s">
        <v>170</v>
      </c>
      <c r="C15" s="17" t="s">
        <v>178</v>
      </c>
      <c r="D15" s="17" t="s">
        <v>177</v>
      </c>
      <c r="E15" s="17">
        <v>188.9</v>
      </c>
      <c r="F15" s="17">
        <v>720</v>
      </c>
      <c r="G15" s="17">
        <v>717</v>
      </c>
      <c r="H15" s="17">
        <v>624.3</v>
      </c>
      <c r="I15" s="17">
        <v>78.2</v>
      </c>
      <c r="J15" s="17">
        <v>135441</v>
      </c>
      <c r="K15" s="17">
        <v>136008</v>
      </c>
      <c r="L15" s="17">
        <v>121475</v>
      </c>
      <c r="M15" s="17">
        <v>97250</v>
      </c>
      <c r="N15" s="17">
        <v>95233</v>
      </c>
      <c r="O15" s="17">
        <v>102279</v>
      </c>
      <c r="P15" s="17">
        <v>20791</v>
      </c>
      <c r="Q15" s="17">
        <v>17994</v>
      </c>
      <c r="R15" s="17">
        <v>14772</v>
      </c>
      <c r="S15" s="17">
        <v>6</v>
      </c>
      <c r="T15" s="17">
        <v>68.5</v>
      </c>
      <c r="U15" s="17">
        <v>33</v>
      </c>
      <c r="V15" s="17">
        <v>27</v>
      </c>
      <c r="W15" s="17">
        <v>308111</v>
      </c>
      <c r="X15" s="17">
        <v>70784.39999999999</v>
      </c>
      <c r="Y15" s="17">
        <v>940.2</v>
      </c>
      <c r="Z15" s="17">
        <v>245659</v>
      </c>
      <c r="AA15" s="17">
        <v>68824</v>
      </c>
      <c r="AB15" s="17">
        <v>358135</v>
      </c>
      <c r="AC15" s="17">
        <v>24322</v>
      </c>
      <c r="AD15" s="17">
        <v>4</v>
      </c>
      <c r="AE15" s="17">
        <v>95000</v>
      </c>
      <c r="AF15" s="17">
        <v>0</v>
      </c>
      <c r="AG15" s="17">
        <v>0</v>
      </c>
      <c r="AH15" s="17">
        <v>2</v>
      </c>
      <c r="AI15" s="17">
        <v>0</v>
      </c>
      <c r="AJ15" s="17">
        <v>1</v>
      </c>
      <c r="AK15" s="17">
        <v>0</v>
      </c>
      <c r="AL15" s="17">
        <v>6</v>
      </c>
      <c r="AM15" s="17">
        <v>1</v>
      </c>
      <c r="AN15" s="17">
        <v>2</v>
      </c>
      <c r="AO15" s="17">
        <v>1</v>
      </c>
      <c r="AP15" s="17">
        <v>1</v>
      </c>
      <c r="AQ15" s="17">
        <v>225</v>
      </c>
      <c r="AR15" s="17">
        <v>36</v>
      </c>
      <c r="AS15" s="17">
        <v>65</v>
      </c>
      <c r="AT15" s="17">
        <v>94217</v>
      </c>
      <c r="AU15" s="17">
        <v>121397</v>
      </c>
      <c r="AV15" s="17">
        <v>346059.3</v>
      </c>
      <c r="AW15" s="17">
        <v>456452.7</v>
      </c>
      <c r="AX15" s="17">
        <v>20557.3</v>
      </c>
      <c r="AY15" s="17">
        <v>16054.5</v>
      </c>
      <c r="AZ15" s="17">
        <v>173</v>
      </c>
      <c r="BA15" s="17">
        <v>147</v>
      </c>
      <c r="BB15" s="17">
        <v>103840</v>
      </c>
      <c r="BC15" s="17">
        <v>101122</v>
      </c>
      <c r="BD15" s="17">
        <v>1125</v>
      </c>
      <c r="BE15" s="17">
        <v>658</v>
      </c>
      <c r="BF15" s="17">
        <v>772</v>
      </c>
      <c r="BG15" s="17">
        <v>171707.4</v>
      </c>
      <c r="BH15" s="17">
        <v>73868.5</v>
      </c>
      <c r="BI15" s="17">
        <v>0</v>
      </c>
      <c r="BJ15" s="17">
        <v>0</v>
      </c>
      <c r="BK15" s="17">
        <v>0</v>
      </c>
      <c r="BL15" s="17">
        <v>1</v>
      </c>
      <c r="BM15" s="17">
        <v>1</v>
      </c>
      <c r="BN15" s="17">
        <v>0</v>
      </c>
      <c r="BO15" s="17">
        <v>0</v>
      </c>
      <c r="BP15" s="17">
        <v>0</v>
      </c>
      <c r="BQ15" s="17">
        <v>0</v>
      </c>
      <c r="BR15" s="17">
        <v>0</v>
      </c>
      <c r="BS15" s="17">
        <v>0</v>
      </c>
      <c r="BT15" s="17">
        <v>4</v>
      </c>
      <c r="BU15" s="17">
        <v>121378</v>
      </c>
      <c r="BV15" s="17">
        <v>108581</v>
      </c>
      <c r="BW15" s="17">
        <v>36663480</v>
      </c>
      <c r="BX15" s="17">
        <v>135441</v>
      </c>
      <c r="BY15" s="17">
        <v>15611</v>
      </c>
    </row>
    <row r="16" spans="1:77">
      <c r="A16" s="17" t="s">
        <v>15</v>
      </c>
      <c r="B16" s="17" t="s">
        <v>170</v>
      </c>
      <c r="C16" s="17" t="s">
        <v>179</v>
      </c>
      <c r="D16" s="17" t="s">
        <v>172</v>
      </c>
      <c r="E16" s="17">
        <v>225.4</v>
      </c>
      <c r="F16" s="17">
        <v>720</v>
      </c>
      <c r="G16" s="17">
        <v>709</v>
      </c>
      <c r="H16" s="17">
        <v>679.1</v>
      </c>
      <c r="I16" s="17">
        <v>18.5</v>
      </c>
      <c r="J16" s="17">
        <v>159809</v>
      </c>
      <c r="K16" s="17">
        <v>162288</v>
      </c>
      <c r="L16" s="17">
        <v>140381</v>
      </c>
      <c r="M16" s="17">
        <v>137702</v>
      </c>
      <c r="N16" s="17">
        <v>135597</v>
      </c>
      <c r="O16" s="17">
        <v>151646</v>
      </c>
      <c r="P16" s="17">
        <v>30509</v>
      </c>
      <c r="Q16" s="17">
        <v>27116</v>
      </c>
      <c r="R16" s="17">
        <v>4170</v>
      </c>
      <c r="S16" s="17">
        <v>2</v>
      </c>
      <c r="T16" s="17">
        <v>11.6</v>
      </c>
      <c r="U16" s="17">
        <v>46</v>
      </c>
      <c r="V16" s="17">
        <v>45</v>
      </c>
      <c r="W16" s="17">
        <v>423748.9</v>
      </c>
      <c r="X16" s="17">
        <v>102285.4</v>
      </c>
      <c r="Y16" s="17">
        <v>1376.4</v>
      </c>
      <c r="Z16" s="17">
        <v>293580</v>
      </c>
      <c r="AA16" s="17">
        <v>100138</v>
      </c>
      <c r="AB16" s="17">
        <v>411317</v>
      </c>
      <c r="AC16" s="17">
        <v>5413</v>
      </c>
      <c r="AD16" s="17">
        <v>1</v>
      </c>
      <c r="AE16" s="17">
        <v>81000</v>
      </c>
      <c r="AF16" s="17">
        <v>0</v>
      </c>
      <c r="AG16" s="17">
        <v>0</v>
      </c>
      <c r="AH16" s="17">
        <v>5</v>
      </c>
      <c r="AI16" s="17">
        <v>0</v>
      </c>
      <c r="AJ16" s="17">
        <v>1</v>
      </c>
      <c r="AK16" s="17">
        <v>0</v>
      </c>
      <c r="AL16" s="17">
        <v>5</v>
      </c>
      <c r="AM16" s="17">
        <v>1</v>
      </c>
      <c r="AN16" s="17">
        <v>1</v>
      </c>
      <c r="AO16" s="17">
        <v>0</v>
      </c>
      <c r="AP16" s="17">
        <v>0</v>
      </c>
      <c r="AQ16" s="17">
        <v>130</v>
      </c>
      <c r="AR16" s="17">
        <v>5</v>
      </c>
      <c r="AS16" s="17">
        <v>218</v>
      </c>
      <c r="AT16" s="17">
        <v>132069</v>
      </c>
      <c r="AU16" s="17">
        <v>141407</v>
      </c>
      <c r="AV16" s="17">
        <v>498991.1</v>
      </c>
      <c r="AW16" s="17">
        <v>531690.3</v>
      </c>
      <c r="AX16" s="17">
        <v>26981.8</v>
      </c>
      <c r="AY16" s="17">
        <v>18816.9</v>
      </c>
      <c r="AZ16" s="17">
        <v>169</v>
      </c>
      <c r="BA16" s="17">
        <v>156</v>
      </c>
      <c r="BB16" s="17">
        <v>152075</v>
      </c>
      <c r="BC16" s="17">
        <v>143138</v>
      </c>
      <c r="BD16" s="17">
        <v>1636</v>
      </c>
      <c r="BE16" s="17">
        <v>952</v>
      </c>
      <c r="BF16" s="17">
        <v>997</v>
      </c>
      <c r="BG16" s="17">
        <v>224328.9</v>
      </c>
      <c r="BH16" s="17">
        <v>84788.10000000001</v>
      </c>
      <c r="BI16" s="17">
        <v>0</v>
      </c>
      <c r="BJ16" s="17">
        <v>0</v>
      </c>
      <c r="BK16" s="17">
        <v>0</v>
      </c>
      <c r="BL16" s="17">
        <v>1</v>
      </c>
      <c r="BM16" s="17">
        <v>1</v>
      </c>
      <c r="BN16" s="17">
        <v>0</v>
      </c>
      <c r="BO16" s="17">
        <v>0</v>
      </c>
      <c r="BP16" s="17">
        <v>0</v>
      </c>
      <c r="BQ16" s="17">
        <v>0</v>
      </c>
      <c r="BR16" s="17">
        <v>0</v>
      </c>
      <c r="BS16" s="17">
        <v>0</v>
      </c>
      <c r="BT16" s="17">
        <v>99</v>
      </c>
      <c r="BU16" s="17">
        <v>142430</v>
      </c>
      <c r="BV16" s="17">
        <v>144326</v>
      </c>
      <c r="BW16" s="17">
        <v>85157077</v>
      </c>
      <c r="BX16" s="17">
        <v>159809</v>
      </c>
      <c r="BY16" s="17">
        <v>4742</v>
      </c>
    </row>
    <row r="17" spans="1:77">
      <c r="A17" s="17" t="s">
        <v>15</v>
      </c>
      <c r="B17" s="17" t="s">
        <v>170</v>
      </c>
      <c r="C17" s="17" t="s">
        <v>179</v>
      </c>
      <c r="D17" s="17" t="s">
        <v>173</v>
      </c>
      <c r="E17" s="17">
        <v>225.4</v>
      </c>
      <c r="F17" s="17">
        <v>744</v>
      </c>
      <c r="G17" s="17">
        <v>675</v>
      </c>
      <c r="H17" s="17">
        <v>644.2</v>
      </c>
      <c r="I17" s="17">
        <v>22.6</v>
      </c>
      <c r="J17" s="17">
        <v>152145</v>
      </c>
      <c r="K17" s="17">
        <v>167698</v>
      </c>
      <c r="L17" s="17">
        <v>139327</v>
      </c>
      <c r="M17" s="17">
        <v>129882</v>
      </c>
      <c r="N17" s="17">
        <v>123727</v>
      </c>
      <c r="O17" s="17">
        <v>139092</v>
      </c>
      <c r="P17" s="17">
        <v>26667</v>
      </c>
      <c r="Q17" s="17">
        <v>22876</v>
      </c>
      <c r="R17" s="17">
        <v>5094</v>
      </c>
      <c r="S17" s="17">
        <v>4</v>
      </c>
      <c r="T17" s="17">
        <v>18.4</v>
      </c>
      <c r="U17" s="17">
        <v>54</v>
      </c>
      <c r="V17" s="17">
        <v>51</v>
      </c>
      <c r="W17" s="17">
        <v>380693.8</v>
      </c>
      <c r="X17" s="17">
        <v>88979.2</v>
      </c>
      <c r="Y17" s="17">
        <v>1092.1</v>
      </c>
      <c r="Z17" s="17">
        <v>320054</v>
      </c>
      <c r="AA17" s="17">
        <v>72786</v>
      </c>
      <c r="AB17" s="17">
        <v>378969</v>
      </c>
      <c r="AC17" s="17">
        <v>18096</v>
      </c>
      <c r="AD17" s="17">
        <v>1</v>
      </c>
      <c r="AE17" s="17">
        <v>76000</v>
      </c>
      <c r="AF17" s="17">
        <v>1</v>
      </c>
      <c r="AG17" s="17">
        <v>0</v>
      </c>
      <c r="AH17" s="17">
        <v>10</v>
      </c>
      <c r="AI17" s="17">
        <v>0</v>
      </c>
      <c r="AJ17" s="17">
        <v>1</v>
      </c>
      <c r="AK17" s="17">
        <v>0</v>
      </c>
      <c r="AL17" s="17">
        <v>10</v>
      </c>
      <c r="AM17" s="17">
        <v>2</v>
      </c>
      <c r="AN17" s="17">
        <v>0</v>
      </c>
      <c r="AO17" s="17">
        <v>0</v>
      </c>
      <c r="AP17" s="17">
        <v>0</v>
      </c>
      <c r="AQ17" s="17">
        <v>230</v>
      </c>
      <c r="AR17" s="17">
        <v>12</v>
      </c>
      <c r="AS17" s="17">
        <v>188</v>
      </c>
      <c r="AT17" s="17">
        <v>123269</v>
      </c>
      <c r="AU17" s="17">
        <v>138158</v>
      </c>
      <c r="AV17" s="17">
        <v>460880.8</v>
      </c>
      <c r="AW17" s="17">
        <v>519474.1</v>
      </c>
      <c r="AX17" s="17">
        <v>20000.3</v>
      </c>
      <c r="AY17" s="17">
        <v>18527.3</v>
      </c>
      <c r="AZ17" s="17">
        <v>232</v>
      </c>
      <c r="BA17" s="17">
        <v>213</v>
      </c>
      <c r="BB17" s="17">
        <v>142709</v>
      </c>
      <c r="BC17" s="17">
        <v>135890</v>
      </c>
      <c r="BD17" s="17">
        <v>1180</v>
      </c>
      <c r="BE17" s="17">
        <v>1148</v>
      </c>
      <c r="BF17" s="17">
        <v>1150</v>
      </c>
      <c r="BG17" s="17">
        <v>215687.3</v>
      </c>
      <c r="BH17" s="17">
        <v>82507.5</v>
      </c>
      <c r="BI17" s="17">
        <v>0</v>
      </c>
      <c r="BJ17" s="17">
        <v>1</v>
      </c>
      <c r="BK17" s="17">
        <v>0</v>
      </c>
      <c r="BL17" s="17">
        <v>0</v>
      </c>
      <c r="BM17" s="17">
        <v>1</v>
      </c>
      <c r="BN17" s="17">
        <v>0</v>
      </c>
      <c r="BO17" s="17">
        <v>0</v>
      </c>
      <c r="BP17" s="17">
        <v>0</v>
      </c>
      <c r="BQ17" s="17">
        <v>0</v>
      </c>
      <c r="BR17" s="17">
        <v>0</v>
      </c>
      <c r="BS17" s="17">
        <v>0</v>
      </c>
      <c r="BT17" s="17">
        <v>99</v>
      </c>
      <c r="BU17" s="17">
        <v>140211</v>
      </c>
      <c r="BV17" s="17">
        <v>141920</v>
      </c>
      <c r="BW17" s="17">
        <v>76995709</v>
      </c>
      <c r="BX17" s="17">
        <v>152145</v>
      </c>
      <c r="BY17" s="17">
        <v>4615</v>
      </c>
    </row>
    <row r="18" spans="1:77">
      <c r="A18" s="17" t="s">
        <v>15</v>
      </c>
      <c r="B18" s="17" t="s">
        <v>170</v>
      </c>
      <c r="C18" s="17" t="s">
        <v>179</v>
      </c>
      <c r="D18" s="17" t="s">
        <v>174</v>
      </c>
      <c r="E18" s="17">
        <v>225.4</v>
      </c>
      <c r="F18" s="17">
        <v>720</v>
      </c>
      <c r="G18" s="17">
        <v>719</v>
      </c>
      <c r="H18" s="17">
        <v>672.3</v>
      </c>
      <c r="I18" s="17">
        <v>30</v>
      </c>
      <c r="J18" s="17">
        <v>162063</v>
      </c>
      <c r="K18" s="17">
        <v>162288</v>
      </c>
      <c r="L18" s="17">
        <v>141008</v>
      </c>
      <c r="M18" s="17">
        <v>134645</v>
      </c>
      <c r="N18" s="17">
        <v>129167</v>
      </c>
      <c r="O18" s="17">
        <v>140543</v>
      </c>
      <c r="P18" s="17">
        <v>28463</v>
      </c>
      <c r="Q18" s="17">
        <v>25992</v>
      </c>
      <c r="R18" s="17">
        <v>6762</v>
      </c>
      <c r="S18" s="17">
        <v>4</v>
      </c>
      <c r="T18" s="17">
        <v>23.1</v>
      </c>
      <c r="U18" s="17">
        <v>50</v>
      </c>
      <c r="V18" s="17">
        <v>48</v>
      </c>
      <c r="W18" s="17">
        <v>345324.8</v>
      </c>
      <c r="X18" s="17">
        <v>105483</v>
      </c>
      <c r="Y18" s="17">
        <v>952.7</v>
      </c>
      <c r="Z18" s="17">
        <v>282180</v>
      </c>
      <c r="AA18" s="17">
        <v>73193</v>
      </c>
      <c r="AB18" s="17">
        <v>376725</v>
      </c>
      <c r="AC18" s="17">
        <v>14242</v>
      </c>
      <c r="AD18" s="17">
        <v>1</v>
      </c>
      <c r="AE18" s="17">
        <v>72000</v>
      </c>
      <c r="AF18" s="17">
        <v>1</v>
      </c>
      <c r="AG18" s="17">
        <v>0</v>
      </c>
      <c r="AH18" s="17">
        <v>8</v>
      </c>
      <c r="AI18" s="17">
        <v>0</v>
      </c>
      <c r="AJ18" s="17">
        <v>0</v>
      </c>
      <c r="AK18" s="17">
        <v>0</v>
      </c>
      <c r="AL18" s="17">
        <v>13</v>
      </c>
      <c r="AM18" s="17">
        <v>3</v>
      </c>
      <c r="AN18" s="17">
        <v>2</v>
      </c>
      <c r="AO18" s="17">
        <v>2</v>
      </c>
      <c r="AP18" s="17">
        <v>0</v>
      </c>
      <c r="AQ18" s="17">
        <v>181</v>
      </c>
      <c r="AR18" s="17">
        <v>13</v>
      </c>
      <c r="AS18" s="17">
        <v>158</v>
      </c>
      <c r="AT18" s="17">
        <v>126080</v>
      </c>
      <c r="AU18" s="17">
        <v>142307</v>
      </c>
      <c r="AV18" s="17">
        <v>481116</v>
      </c>
      <c r="AW18" s="17">
        <v>535074.3</v>
      </c>
      <c r="AX18" s="17">
        <v>20433.5</v>
      </c>
      <c r="AY18" s="17">
        <v>19093.5</v>
      </c>
      <c r="AZ18" s="17">
        <v>300</v>
      </c>
      <c r="BA18" s="17">
        <v>278</v>
      </c>
      <c r="BB18" s="17">
        <v>137558</v>
      </c>
      <c r="BC18" s="17">
        <v>131441</v>
      </c>
      <c r="BD18" s="17">
        <v>1030</v>
      </c>
      <c r="BE18" s="17">
        <v>672</v>
      </c>
      <c r="BF18" s="17">
        <v>689</v>
      </c>
      <c r="BG18" s="17">
        <v>197735.7</v>
      </c>
      <c r="BH18" s="17">
        <v>72790.8</v>
      </c>
      <c r="BI18" s="17">
        <v>0</v>
      </c>
      <c r="BJ18" s="17">
        <v>0</v>
      </c>
      <c r="BK18" s="17">
        <v>0</v>
      </c>
      <c r="BL18" s="17">
        <v>1</v>
      </c>
      <c r="BM18" s="17">
        <v>0</v>
      </c>
      <c r="BN18" s="17">
        <v>0</v>
      </c>
      <c r="BO18" s="17">
        <v>0</v>
      </c>
      <c r="BP18" s="17">
        <v>0</v>
      </c>
      <c r="BQ18" s="17">
        <v>0</v>
      </c>
      <c r="BR18" s="17">
        <v>0</v>
      </c>
      <c r="BS18" s="17">
        <v>0</v>
      </c>
      <c r="BT18" s="17">
        <v>99</v>
      </c>
      <c r="BU18" s="17">
        <v>142386</v>
      </c>
      <c r="BV18" s="17">
        <v>143882</v>
      </c>
      <c r="BW18" s="17">
        <v>70501660</v>
      </c>
      <c r="BX18" s="17">
        <v>162063</v>
      </c>
      <c r="BY18" s="17">
        <v>6348</v>
      </c>
    </row>
    <row r="19" spans="1:77">
      <c r="A19" s="17" t="s">
        <v>15</v>
      </c>
      <c r="B19" s="17" t="s">
        <v>170</v>
      </c>
      <c r="C19" s="17" t="s">
        <v>179</v>
      </c>
      <c r="D19" s="17" t="s">
        <v>175</v>
      </c>
      <c r="E19" s="17">
        <v>225.4</v>
      </c>
      <c r="F19" s="17">
        <v>744</v>
      </c>
      <c r="G19" s="17">
        <v>738</v>
      </c>
      <c r="H19" s="17">
        <v>697.8</v>
      </c>
      <c r="I19" s="17">
        <v>30.6</v>
      </c>
      <c r="J19" s="17">
        <v>166345</v>
      </c>
      <c r="K19" s="17">
        <v>167698</v>
      </c>
      <c r="L19" s="17">
        <v>143590</v>
      </c>
      <c r="M19" s="17">
        <v>147553</v>
      </c>
      <c r="N19" s="17">
        <v>141110</v>
      </c>
      <c r="O19" s="17">
        <v>155709</v>
      </c>
      <c r="P19" s="17">
        <v>36133</v>
      </c>
      <c r="Q19" s="17">
        <v>30890</v>
      </c>
      <c r="R19" s="17">
        <v>6897</v>
      </c>
      <c r="S19" s="17">
        <v>4</v>
      </c>
      <c r="T19" s="17">
        <v>21.8</v>
      </c>
      <c r="U19" s="17">
        <v>31</v>
      </c>
      <c r="V19" s="17">
        <v>30</v>
      </c>
      <c r="W19" s="17">
        <v>381458.3</v>
      </c>
      <c r="X19" s="17">
        <v>92438.5</v>
      </c>
      <c r="Y19" s="17">
        <v>906.9</v>
      </c>
      <c r="Z19" s="17">
        <v>353704</v>
      </c>
      <c r="AA19" s="17">
        <v>77990</v>
      </c>
      <c r="AB19" s="17">
        <v>471001</v>
      </c>
      <c r="AC19" s="17">
        <v>2225</v>
      </c>
      <c r="AD19" s="17">
        <v>0</v>
      </c>
      <c r="AE19" s="17">
        <v>88000</v>
      </c>
      <c r="AF19" s="17">
        <v>1</v>
      </c>
      <c r="AG19" s="17">
        <v>0</v>
      </c>
      <c r="AH19" s="17">
        <v>4</v>
      </c>
      <c r="AI19" s="17">
        <v>0</v>
      </c>
      <c r="AJ19" s="17">
        <v>0</v>
      </c>
      <c r="AK19" s="17">
        <v>0</v>
      </c>
      <c r="AL19" s="17">
        <v>13</v>
      </c>
      <c r="AM19" s="17">
        <v>4</v>
      </c>
      <c r="AN19" s="17">
        <v>0</v>
      </c>
      <c r="AO19" s="17">
        <v>0</v>
      </c>
      <c r="AP19" s="17">
        <v>1</v>
      </c>
      <c r="AQ19" s="17">
        <v>146</v>
      </c>
      <c r="AR19" s="17">
        <v>12</v>
      </c>
      <c r="AS19" s="17">
        <v>128</v>
      </c>
      <c r="AT19" s="17">
        <v>137861</v>
      </c>
      <c r="AU19" s="17">
        <v>144547</v>
      </c>
      <c r="AV19" s="17">
        <v>513258.9</v>
      </c>
      <c r="AW19" s="17">
        <v>543496.7</v>
      </c>
      <c r="AX19" s="17">
        <v>19162.6</v>
      </c>
      <c r="AY19" s="17">
        <v>19627.6</v>
      </c>
      <c r="AZ19" s="17">
        <v>151</v>
      </c>
      <c r="BA19" s="17">
        <v>142</v>
      </c>
      <c r="BB19" s="17">
        <v>153075</v>
      </c>
      <c r="BC19" s="17">
        <v>145391</v>
      </c>
      <c r="BD19" s="17">
        <v>1747</v>
      </c>
      <c r="BE19" s="17">
        <v>742</v>
      </c>
      <c r="BF19" s="17">
        <v>746</v>
      </c>
      <c r="BG19" s="17">
        <v>193519</v>
      </c>
      <c r="BH19" s="17">
        <v>59200.1</v>
      </c>
      <c r="BI19" s="17">
        <v>0</v>
      </c>
      <c r="BJ19" s="17">
        <v>0</v>
      </c>
      <c r="BK19" s="17">
        <v>0</v>
      </c>
      <c r="BL19" s="17">
        <v>0</v>
      </c>
      <c r="BM19" s="17">
        <v>0</v>
      </c>
      <c r="BN19" s="17">
        <v>0</v>
      </c>
      <c r="BO19" s="17">
        <v>0</v>
      </c>
      <c r="BP19" s="17">
        <v>0</v>
      </c>
      <c r="BQ19" s="17">
        <v>0</v>
      </c>
      <c r="BR19" s="17">
        <v>0</v>
      </c>
      <c r="BS19" s="17">
        <v>0</v>
      </c>
      <c r="BT19" s="17">
        <v>99</v>
      </c>
      <c r="BU19" s="17">
        <v>142848</v>
      </c>
      <c r="BV19" s="17">
        <v>143572</v>
      </c>
      <c r="BW19" s="17">
        <v>78562315</v>
      </c>
      <c r="BX19" s="17">
        <v>166345</v>
      </c>
      <c r="BY19" s="17">
        <v>6659</v>
      </c>
    </row>
    <row r="20" spans="1:77">
      <c r="A20" s="17" t="s">
        <v>15</v>
      </c>
      <c r="B20" s="17" t="s">
        <v>170</v>
      </c>
      <c r="C20" s="17" t="s">
        <v>179</v>
      </c>
      <c r="D20" s="17" t="s">
        <v>176</v>
      </c>
      <c r="E20" s="17">
        <v>225.4</v>
      </c>
      <c r="F20" s="17">
        <v>744</v>
      </c>
      <c r="G20" s="17">
        <v>744</v>
      </c>
      <c r="H20" s="17">
        <v>711.9</v>
      </c>
      <c r="I20" s="17">
        <v>23.6</v>
      </c>
      <c r="J20" s="17">
        <v>167698</v>
      </c>
      <c r="K20" s="17">
        <v>167698</v>
      </c>
      <c r="L20" s="17">
        <v>151538</v>
      </c>
      <c r="M20" s="17">
        <v>142073</v>
      </c>
      <c r="N20" s="17">
        <v>138449</v>
      </c>
      <c r="O20" s="17">
        <v>150347</v>
      </c>
      <c r="P20" s="17">
        <v>34297</v>
      </c>
      <c r="Q20" s="17">
        <v>30571</v>
      </c>
      <c r="R20" s="17">
        <v>5319</v>
      </c>
      <c r="S20" s="17">
        <v>4</v>
      </c>
      <c r="T20" s="17">
        <v>21</v>
      </c>
      <c r="U20" s="17">
        <v>44</v>
      </c>
      <c r="V20" s="17">
        <v>44</v>
      </c>
      <c r="W20" s="17">
        <v>423777.7</v>
      </c>
      <c r="X20" s="17">
        <v>129686.6</v>
      </c>
      <c r="Y20" s="17">
        <v>1205.6</v>
      </c>
      <c r="Z20" s="17">
        <v>316694</v>
      </c>
      <c r="AA20" s="17">
        <v>99207</v>
      </c>
      <c r="AB20" s="17">
        <v>471761</v>
      </c>
      <c r="AC20" s="17">
        <v>13634</v>
      </c>
      <c r="AD20" s="17">
        <v>2</v>
      </c>
      <c r="AE20" s="17">
        <v>68000</v>
      </c>
      <c r="AF20" s="17">
        <v>1</v>
      </c>
      <c r="AG20" s="17">
        <v>0</v>
      </c>
      <c r="AH20" s="17">
        <v>8</v>
      </c>
      <c r="AI20" s="17">
        <v>0</v>
      </c>
      <c r="AJ20" s="17">
        <v>0</v>
      </c>
      <c r="AK20" s="17">
        <v>0</v>
      </c>
      <c r="AL20" s="17">
        <v>5</v>
      </c>
      <c r="AM20" s="17">
        <v>0</v>
      </c>
      <c r="AN20" s="17">
        <v>2</v>
      </c>
      <c r="AO20" s="17">
        <v>1</v>
      </c>
      <c r="AP20" s="17">
        <v>1</v>
      </c>
      <c r="AQ20" s="17">
        <v>123</v>
      </c>
      <c r="AR20" s="17">
        <v>4</v>
      </c>
      <c r="AS20" s="17">
        <v>98</v>
      </c>
      <c r="AT20" s="17">
        <v>139886</v>
      </c>
      <c r="AU20" s="17">
        <v>151878</v>
      </c>
      <c r="AV20" s="17">
        <v>526978.8</v>
      </c>
      <c r="AW20" s="17">
        <v>571061.3</v>
      </c>
      <c r="AX20" s="17">
        <v>28405.2</v>
      </c>
      <c r="AY20" s="17">
        <v>18744.5</v>
      </c>
      <c r="AZ20" s="17">
        <v>248</v>
      </c>
      <c r="BA20" s="17">
        <v>223</v>
      </c>
      <c r="BB20" s="17">
        <v>146756</v>
      </c>
      <c r="BC20" s="17">
        <v>142333</v>
      </c>
      <c r="BD20" s="17">
        <v>2489</v>
      </c>
      <c r="BE20" s="17">
        <v>1106</v>
      </c>
      <c r="BF20" s="17">
        <v>1140</v>
      </c>
      <c r="BG20" s="17">
        <v>217007.7</v>
      </c>
      <c r="BH20" s="17">
        <v>72740.3</v>
      </c>
      <c r="BI20" s="17">
        <v>0</v>
      </c>
      <c r="BJ20" s="17">
        <v>0</v>
      </c>
      <c r="BK20" s="17">
        <v>0</v>
      </c>
      <c r="BL20" s="17">
        <v>0</v>
      </c>
      <c r="BM20" s="17">
        <v>1</v>
      </c>
      <c r="BN20" s="17">
        <v>0</v>
      </c>
      <c r="BO20" s="17">
        <v>0</v>
      </c>
      <c r="BP20" s="17">
        <v>0</v>
      </c>
      <c r="BQ20" s="17">
        <v>0</v>
      </c>
      <c r="BR20" s="17">
        <v>0</v>
      </c>
      <c r="BS20" s="17">
        <v>0</v>
      </c>
      <c r="BT20" s="17">
        <v>99</v>
      </c>
      <c r="BU20" s="17">
        <v>151066</v>
      </c>
      <c r="BV20" s="17">
        <v>152573</v>
      </c>
      <c r="BW20" s="17">
        <v>74498932</v>
      </c>
      <c r="BX20" s="17">
        <v>167698</v>
      </c>
      <c r="BY20" s="17">
        <v>4955</v>
      </c>
    </row>
    <row r="21" spans="1:77">
      <c r="A21" s="17" t="s">
        <v>15</v>
      </c>
      <c r="B21" s="17" t="s">
        <v>170</v>
      </c>
      <c r="C21" s="17" t="s">
        <v>179</v>
      </c>
      <c r="D21" s="17" t="s">
        <v>177</v>
      </c>
      <c r="E21" s="17">
        <v>225.4</v>
      </c>
      <c r="F21" s="17">
        <v>720</v>
      </c>
      <c r="G21" s="17">
        <v>719</v>
      </c>
      <c r="H21" s="17">
        <v>695.4</v>
      </c>
      <c r="I21" s="17">
        <v>12.3</v>
      </c>
      <c r="J21" s="17">
        <v>162063</v>
      </c>
      <c r="K21" s="17">
        <v>162288</v>
      </c>
      <c r="L21" s="17">
        <v>140379</v>
      </c>
      <c r="M21" s="17">
        <v>145600</v>
      </c>
      <c r="N21" s="17">
        <v>139711</v>
      </c>
      <c r="O21" s="17">
        <v>154604</v>
      </c>
      <c r="P21" s="17">
        <v>36789</v>
      </c>
      <c r="Q21" s="17">
        <v>31527</v>
      </c>
      <c r="R21" s="17">
        <v>2772</v>
      </c>
      <c r="S21" s="17">
        <v>2</v>
      </c>
      <c r="T21" s="17">
        <v>8.800000000000001</v>
      </c>
      <c r="U21" s="17">
        <v>58</v>
      </c>
      <c r="V21" s="17">
        <v>58</v>
      </c>
      <c r="W21" s="17">
        <v>365860.2</v>
      </c>
      <c r="X21" s="17">
        <v>97272</v>
      </c>
      <c r="Y21" s="17">
        <v>1454.1</v>
      </c>
      <c r="Z21" s="17">
        <v>346844</v>
      </c>
      <c r="AA21" s="17">
        <v>91566</v>
      </c>
      <c r="AB21" s="17">
        <v>496742</v>
      </c>
      <c r="AC21" s="17">
        <v>2939</v>
      </c>
      <c r="AD21" s="17">
        <v>1</v>
      </c>
      <c r="AE21" s="17">
        <v>69000</v>
      </c>
      <c r="AF21" s="17">
        <v>1</v>
      </c>
      <c r="AG21" s="17">
        <v>0</v>
      </c>
      <c r="AH21" s="17">
        <v>9</v>
      </c>
      <c r="AI21" s="17">
        <v>0</v>
      </c>
      <c r="AJ21" s="17">
        <v>0</v>
      </c>
      <c r="AK21" s="17">
        <v>0</v>
      </c>
      <c r="AL21" s="17">
        <v>8</v>
      </c>
      <c r="AM21" s="17">
        <v>2</v>
      </c>
      <c r="AN21" s="17">
        <v>0</v>
      </c>
      <c r="AO21" s="17">
        <v>0</v>
      </c>
      <c r="AP21" s="17">
        <v>1</v>
      </c>
      <c r="AQ21" s="17">
        <v>214</v>
      </c>
      <c r="AR21" s="17">
        <v>16</v>
      </c>
      <c r="AS21" s="17">
        <v>68</v>
      </c>
      <c r="AT21" s="17">
        <v>135965</v>
      </c>
      <c r="AU21" s="17">
        <v>140098</v>
      </c>
      <c r="AV21" s="17">
        <v>508764.6</v>
      </c>
      <c r="AW21" s="17">
        <v>526768.5</v>
      </c>
      <c r="AX21" s="17">
        <v>21839.8</v>
      </c>
      <c r="AY21" s="17">
        <v>19282.9</v>
      </c>
      <c r="AZ21" s="17">
        <v>290</v>
      </c>
      <c r="BA21" s="17">
        <v>268</v>
      </c>
      <c r="BB21" s="17">
        <v>150109</v>
      </c>
      <c r="BC21" s="17">
        <v>146024</v>
      </c>
      <c r="BD21" s="17">
        <v>907</v>
      </c>
      <c r="BE21" s="17">
        <v>1232</v>
      </c>
      <c r="BF21" s="17">
        <v>1261</v>
      </c>
      <c r="BG21" s="17">
        <v>209913.3</v>
      </c>
      <c r="BH21" s="17">
        <v>64451.6</v>
      </c>
      <c r="BI21" s="17">
        <v>0</v>
      </c>
      <c r="BJ21" s="17">
        <v>0</v>
      </c>
      <c r="BK21" s="17">
        <v>1</v>
      </c>
      <c r="BL21" s="17">
        <v>0</v>
      </c>
      <c r="BM21" s="17">
        <v>0</v>
      </c>
      <c r="BN21" s="17">
        <v>0</v>
      </c>
      <c r="BO21" s="17">
        <v>0</v>
      </c>
      <c r="BP21" s="17">
        <v>0</v>
      </c>
      <c r="BQ21" s="17">
        <v>0</v>
      </c>
      <c r="BR21" s="17">
        <v>0</v>
      </c>
      <c r="BS21" s="17">
        <v>0</v>
      </c>
      <c r="BT21" s="17">
        <v>99</v>
      </c>
      <c r="BU21" s="17">
        <v>141499</v>
      </c>
      <c r="BV21" s="17">
        <v>143032</v>
      </c>
      <c r="BW21" s="17">
        <v>79830315</v>
      </c>
      <c r="BX21" s="17">
        <v>162063</v>
      </c>
      <c r="BY21" s="17">
        <v>2511</v>
      </c>
    </row>
    <row r="22" spans="1:77">
      <c r="A22" s="17" t="s">
        <v>15</v>
      </c>
      <c r="B22" s="17" t="s">
        <v>180</v>
      </c>
      <c r="C22" s="17" t="s">
        <v>181</v>
      </c>
      <c r="D22" s="17" t="s">
        <v>172</v>
      </c>
      <c r="E22" s="17">
        <v>126.8</v>
      </c>
      <c r="F22" s="17">
        <v>720</v>
      </c>
      <c r="G22" s="17">
        <v>717</v>
      </c>
      <c r="H22" s="17">
        <v>688.4</v>
      </c>
      <c r="I22" s="17">
        <v>13.3</v>
      </c>
      <c r="J22" s="17">
        <v>90916</v>
      </c>
      <c r="K22" s="17">
        <v>91296</v>
      </c>
      <c r="L22" s="17">
        <v>79171</v>
      </c>
      <c r="M22" s="17">
        <v>79525</v>
      </c>
      <c r="N22" s="17">
        <v>77084</v>
      </c>
      <c r="O22" s="17">
        <v>83058</v>
      </c>
      <c r="P22" s="17">
        <v>18101</v>
      </c>
      <c r="Q22" s="17">
        <v>16015</v>
      </c>
      <c r="R22" s="17">
        <v>1686</v>
      </c>
      <c r="S22" s="17">
        <v>2</v>
      </c>
      <c r="T22" s="17">
        <v>6.8</v>
      </c>
      <c r="U22" s="17">
        <v>46</v>
      </c>
      <c r="V22" s="17">
        <v>43</v>
      </c>
      <c r="W22" s="17">
        <v>238202.9</v>
      </c>
      <c r="X22" s="17">
        <v>62768.6</v>
      </c>
      <c r="Y22" s="17">
        <v>1114.8</v>
      </c>
      <c r="Z22" s="17">
        <v>186852</v>
      </c>
      <c r="AA22" s="17">
        <v>47773</v>
      </c>
      <c r="AB22" s="17">
        <v>263207</v>
      </c>
      <c r="AC22" s="17">
        <v>29</v>
      </c>
      <c r="AD22" s="17">
        <v>0</v>
      </c>
      <c r="AE22" s="17">
        <v>82000</v>
      </c>
      <c r="AF22" s="17">
        <v>0</v>
      </c>
      <c r="AG22" s="17">
        <v>0</v>
      </c>
      <c r="AH22" s="17">
        <v>5</v>
      </c>
      <c r="AI22" s="17">
        <v>0</v>
      </c>
      <c r="AJ22" s="17">
        <v>0</v>
      </c>
      <c r="AK22" s="17">
        <v>0</v>
      </c>
      <c r="AL22" s="17">
        <v>14</v>
      </c>
      <c r="AM22" s="17">
        <v>4</v>
      </c>
      <c r="AN22" s="17">
        <v>2</v>
      </c>
      <c r="AO22" s="17">
        <v>1</v>
      </c>
      <c r="AP22" s="17">
        <v>2</v>
      </c>
      <c r="AQ22" s="17">
        <v>243</v>
      </c>
      <c r="AR22" s="17">
        <v>21</v>
      </c>
      <c r="AS22" s="17">
        <v>369</v>
      </c>
      <c r="AT22" s="17">
        <v>78225</v>
      </c>
      <c r="AU22" s="17">
        <v>79795</v>
      </c>
      <c r="AV22" s="17">
        <v>292752.8</v>
      </c>
      <c r="AW22" s="17">
        <v>300029.2</v>
      </c>
      <c r="AX22" s="17">
        <v>12037.8</v>
      </c>
      <c r="AY22" s="17">
        <v>10982</v>
      </c>
      <c r="AZ22" s="17">
        <v>185</v>
      </c>
      <c r="BA22" s="17">
        <v>171</v>
      </c>
      <c r="BB22" s="17">
        <v>85445</v>
      </c>
      <c r="BC22" s="17">
        <v>81285</v>
      </c>
      <c r="BD22" s="17">
        <v>817</v>
      </c>
      <c r="BE22" s="17">
        <v>910</v>
      </c>
      <c r="BF22" s="17">
        <v>944</v>
      </c>
      <c r="BG22" s="17">
        <v>138709</v>
      </c>
      <c r="BH22" s="17">
        <v>42357</v>
      </c>
      <c r="BI22" s="17">
        <v>0</v>
      </c>
      <c r="BJ22" s="17">
        <v>1</v>
      </c>
      <c r="BK22" s="17">
        <v>0</v>
      </c>
      <c r="BL22" s="17">
        <v>0</v>
      </c>
      <c r="BM22" s="17">
        <v>0</v>
      </c>
      <c r="BN22" s="17">
        <v>0</v>
      </c>
      <c r="BO22" s="17">
        <v>0</v>
      </c>
      <c r="BP22" s="17">
        <v>0</v>
      </c>
      <c r="BQ22" s="17">
        <v>0</v>
      </c>
      <c r="BR22" s="17">
        <v>0</v>
      </c>
      <c r="BS22" s="17">
        <v>0</v>
      </c>
      <c r="BT22" s="17">
        <v>99</v>
      </c>
      <c r="BU22" s="17">
        <v>80201</v>
      </c>
      <c r="BV22" s="17">
        <v>80236</v>
      </c>
      <c r="BW22" s="17">
        <v>22408244</v>
      </c>
      <c r="BX22" s="17">
        <v>90916</v>
      </c>
      <c r="BY22" s="17">
        <v>1762</v>
      </c>
    </row>
    <row r="23" spans="1:77">
      <c r="A23" s="17" t="s">
        <v>15</v>
      </c>
      <c r="B23" s="17" t="s">
        <v>180</v>
      </c>
      <c r="C23" s="17" t="s">
        <v>181</v>
      </c>
      <c r="D23" s="17" t="s">
        <v>173</v>
      </c>
      <c r="E23" s="17">
        <v>126.8</v>
      </c>
      <c r="F23" s="17">
        <v>744</v>
      </c>
      <c r="G23" s="17">
        <v>744</v>
      </c>
      <c r="H23" s="17">
        <v>690.2</v>
      </c>
      <c r="I23" s="17">
        <v>40.9</v>
      </c>
      <c r="J23" s="17">
        <v>94339</v>
      </c>
      <c r="K23" s="17">
        <v>94339</v>
      </c>
      <c r="L23" s="17">
        <v>84525</v>
      </c>
      <c r="M23" s="17">
        <v>77136</v>
      </c>
      <c r="N23" s="17">
        <v>76321</v>
      </c>
      <c r="O23" s="17">
        <v>83199</v>
      </c>
      <c r="P23" s="17">
        <v>16003</v>
      </c>
      <c r="Q23" s="17">
        <v>14046</v>
      </c>
      <c r="R23" s="17">
        <v>5186</v>
      </c>
      <c r="S23" s="17">
        <v>4</v>
      </c>
      <c r="T23" s="17">
        <v>31.1</v>
      </c>
      <c r="U23" s="17">
        <v>39</v>
      </c>
      <c r="V23" s="17">
        <v>39</v>
      </c>
      <c r="W23" s="17">
        <v>233996.7</v>
      </c>
      <c r="X23" s="17">
        <v>64991.9</v>
      </c>
      <c r="Y23" s="17">
        <v>1447.4</v>
      </c>
      <c r="Z23" s="17">
        <v>165220</v>
      </c>
      <c r="AA23" s="17">
        <v>55497</v>
      </c>
      <c r="AB23" s="17">
        <v>234243</v>
      </c>
      <c r="AC23" s="17">
        <v>10015</v>
      </c>
      <c r="AD23" s="17">
        <v>0</v>
      </c>
      <c r="AE23" s="17">
        <v>78000</v>
      </c>
      <c r="AF23" s="17">
        <v>2</v>
      </c>
      <c r="AG23" s="17">
        <v>0</v>
      </c>
      <c r="AH23" s="17">
        <v>8</v>
      </c>
      <c r="AI23" s="17">
        <v>0</v>
      </c>
      <c r="AJ23" s="17">
        <v>0</v>
      </c>
      <c r="AK23" s="17">
        <v>0</v>
      </c>
      <c r="AL23" s="17">
        <v>14</v>
      </c>
      <c r="AM23" s="17">
        <v>4</v>
      </c>
      <c r="AN23" s="17">
        <v>1</v>
      </c>
      <c r="AO23" s="17">
        <v>1</v>
      </c>
      <c r="AP23" s="17">
        <v>2</v>
      </c>
      <c r="AQ23" s="17">
        <v>142</v>
      </c>
      <c r="AR23" s="17">
        <v>12</v>
      </c>
      <c r="AS23" s="17">
        <v>339</v>
      </c>
      <c r="AT23" s="17">
        <v>76384</v>
      </c>
      <c r="AU23" s="17">
        <v>84435</v>
      </c>
      <c r="AV23" s="17">
        <v>286207.4</v>
      </c>
      <c r="AW23" s="17">
        <v>317475.6</v>
      </c>
      <c r="AX23" s="17">
        <v>12579.9</v>
      </c>
      <c r="AY23" s="17">
        <v>10522.7</v>
      </c>
      <c r="AZ23" s="17">
        <v>256</v>
      </c>
      <c r="BA23" s="17">
        <v>244</v>
      </c>
      <c r="BB23" s="17">
        <v>81385</v>
      </c>
      <c r="BC23" s="17">
        <v>76900</v>
      </c>
      <c r="BD23" s="17">
        <v>1273</v>
      </c>
      <c r="BE23" s="17">
        <v>868</v>
      </c>
      <c r="BF23" s="17">
        <v>864</v>
      </c>
      <c r="BG23" s="17">
        <v>134793.4</v>
      </c>
      <c r="BH23" s="17">
        <v>42151.6</v>
      </c>
      <c r="BI23" s="17">
        <v>0</v>
      </c>
      <c r="BJ23" s="17">
        <v>1</v>
      </c>
      <c r="BK23" s="17">
        <v>0</v>
      </c>
      <c r="BL23" s="17">
        <v>0</v>
      </c>
      <c r="BM23" s="17">
        <v>0</v>
      </c>
      <c r="BN23" s="17">
        <v>0</v>
      </c>
      <c r="BO23" s="17">
        <v>1</v>
      </c>
      <c r="BP23" s="17">
        <v>0</v>
      </c>
      <c r="BQ23" s="17">
        <v>0</v>
      </c>
      <c r="BR23" s="17">
        <v>0</v>
      </c>
      <c r="BS23" s="17">
        <v>0</v>
      </c>
      <c r="BT23" s="17">
        <v>99</v>
      </c>
      <c r="BU23" s="17">
        <v>84694</v>
      </c>
      <c r="BV23" s="17">
        <v>86072</v>
      </c>
      <c r="BW23" s="17">
        <v>29628619</v>
      </c>
      <c r="BX23" s="17">
        <v>94339</v>
      </c>
      <c r="BY23" s="17">
        <v>5194</v>
      </c>
    </row>
    <row r="24" spans="1:77">
      <c r="A24" s="17" t="s">
        <v>15</v>
      </c>
      <c r="B24" s="17" t="s">
        <v>180</v>
      </c>
      <c r="C24" s="17" t="s">
        <v>181</v>
      </c>
      <c r="D24" s="17" t="s">
        <v>174</v>
      </c>
      <c r="E24" s="17">
        <v>126.8</v>
      </c>
      <c r="F24" s="17">
        <v>720</v>
      </c>
      <c r="G24" s="17">
        <v>715</v>
      </c>
      <c r="H24" s="17">
        <v>673.8</v>
      </c>
      <c r="I24" s="17">
        <v>33.6</v>
      </c>
      <c r="J24" s="17">
        <v>90662</v>
      </c>
      <c r="K24" s="17">
        <v>91296</v>
      </c>
      <c r="L24" s="17">
        <v>81891</v>
      </c>
      <c r="M24" s="17">
        <v>77095</v>
      </c>
      <c r="N24" s="17">
        <v>75177</v>
      </c>
      <c r="O24" s="17">
        <v>82906</v>
      </c>
      <c r="P24" s="17">
        <v>14930</v>
      </c>
      <c r="Q24" s="17">
        <v>13568</v>
      </c>
      <c r="R24" s="17">
        <v>4260</v>
      </c>
      <c r="S24" s="17">
        <v>3</v>
      </c>
      <c r="T24" s="17">
        <v>25.4</v>
      </c>
      <c r="U24" s="17">
        <v>57</v>
      </c>
      <c r="V24" s="17">
        <v>54</v>
      </c>
      <c r="W24" s="17">
        <v>245128.1</v>
      </c>
      <c r="X24" s="17">
        <v>77698.3</v>
      </c>
      <c r="Y24" s="17">
        <v>915.1</v>
      </c>
      <c r="Z24" s="17">
        <v>135852</v>
      </c>
      <c r="AA24" s="17">
        <v>41790</v>
      </c>
      <c r="AB24" s="17">
        <v>240232</v>
      </c>
      <c r="AC24" s="17">
        <v>6867</v>
      </c>
      <c r="AD24" s="17">
        <v>0</v>
      </c>
      <c r="AE24" s="17">
        <v>61000</v>
      </c>
      <c r="AF24" s="17">
        <v>0</v>
      </c>
      <c r="AG24" s="17">
        <v>0</v>
      </c>
      <c r="AH24" s="17">
        <v>11</v>
      </c>
      <c r="AI24" s="17">
        <v>0</v>
      </c>
      <c r="AJ24" s="17">
        <v>0</v>
      </c>
      <c r="AK24" s="17">
        <v>0</v>
      </c>
      <c r="AL24" s="17">
        <v>7</v>
      </c>
      <c r="AM24" s="17">
        <v>1</v>
      </c>
      <c r="AN24" s="17">
        <v>2</v>
      </c>
      <c r="AO24" s="17">
        <v>2</v>
      </c>
      <c r="AP24" s="17">
        <v>0</v>
      </c>
      <c r="AQ24" s="17">
        <v>162</v>
      </c>
      <c r="AR24" s="17">
        <v>12</v>
      </c>
      <c r="AS24" s="17">
        <v>309</v>
      </c>
      <c r="AT24" s="17">
        <v>73486</v>
      </c>
      <c r="AU24" s="17">
        <v>81728</v>
      </c>
      <c r="AV24" s="17">
        <v>279181.4</v>
      </c>
      <c r="AW24" s="17">
        <v>307297.3</v>
      </c>
      <c r="AX24" s="17">
        <v>13248</v>
      </c>
      <c r="AY24" s="17">
        <v>10780</v>
      </c>
      <c r="AZ24" s="17">
        <v>260</v>
      </c>
      <c r="BA24" s="17">
        <v>244</v>
      </c>
      <c r="BB24" s="17">
        <v>82921</v>
      </c>
      <c r="BC24" s="17">
        <v>80610</v>
      </c>
      <c r="BD24" s="17">
        <v>1193</v>
      </c>
      <c r="BE24" s="17">
        <v>616</v>
      </c>
      <c r="BF24" s="17">
        <v>612</v>
      </c>
      <c r="BG24" s="17">
        <v>125625</v>
      </c>
      <c r="BH24" s="17">
        <v>45178.6</v>
      </c>
      <c r="BI24" s="17">
        <v>0</v>
      </c>
      <c r="BJ24" s="17">
        <v>0</v>
      </c>
      <c r="BK24" s="17">
        <v>0</v>
      </c>
      <c r="BL24" s="17">
        <v>0</v>
      </c>
      <c r="BM24" s="17">
        <v>1</v>
      </c>
      <c r="BN24" s="17">
        <v>0</v>
      </c>
      <c r="BO24" s="17">
        <v>0</v>
      </c>
      <c r="BP24" s="17">
        <v>0</v>
      </c>
      <c r="BQ24" s="17">
        <v>0</v>
      </c>
      <c r="BR24" s="17">
        <v>0</v>
      </c>
      <c r="BS24" s="17">
        <v>0</v>
      </c>
      <c r="BT24" s="17">
        <v>99</v>
      </c>
      <c r="BU24" s="17">
        <v>82984</v>
      </c>
      <c r="BV24" s="17">
        <v>84868</v>
      </c>
      <c r="BW24" s="17">
        <v>28287238</v>
      </c>
      <c r="BX24" s="17">
        <v>90662</v>
      </c>
      <c r="BY24" s="17">
        <v>3740</v>
      </c>
    </row>
    <row r="25" spans="1:77">
      <c r="A25" s="17" t="s">
        <v>15</v>
      </c>
      <c r="B25" s="17" t="s">
        <v>180</v>
      </c>
      <c r="C25" s="17" t="s">
        <v>181</v>
      </c>
      <c r="D25" s="17" t="s">
        <v>175</v>
      </c>
      <c r="E25" s="17">
        <v>126.8</v>
      </c>
      <c r="F25" s="17">
        <v>744</v>
      </c>
      <c r="G25" s="17">
        <v>741</v>
      </c>
      <c r="H25" s="17">
        <v>708.1</v>
      </c>
      <c r="I25" s="17">
        <v>22</v>
      </c>
      <c r="J25" s="17">
        <v>93959</v>
      </c>
      <c r="K25" s="17">
        <v>94339</v>
      </c>
      <c r="L25" s="17">
        <v>82701</v>
      </c>
      <c r="M25" s="17">
        <v>79759</v>
      </c>
      <c r="N25" s="17">
        <v>77695</v>
      </c>
      <c r="O25" s="17">
        <v>82058</v>
      </c>
      <c r="P25" s="17">
        <v>17436</v>
      </c>
      <c r="Q25" s="17">
        <v>14929</v>
      </c>
      <c r="R25" s="17">
        <v>2790</v>
      </c>
      <c r="S25" s="17">
        <v>4</v>
      </c>
      <c r="T25" s="17">
        <v>15.4</v>
      </c>
      <c r="U25" s="17">
        <v>51</v>
      </c>
      <c r="V25" s="17">
        <v>49</v>
      </c>
      <c r="W25" s="17">
        <v>257344</v>
      </c>
      <c r="X25" s="17">
        <v>81305.8</v>
      </c>
      <c r="Y25" s="17">
        <v>1342.1</v>
      </c>
      <c r="Z25" s="17">
        <v>154581</v>
      </c>
      <c r="AA25" s="17">
        <v>45272</v>
      </c>
      <c r="AB25" s="17">
        <v>243309</v>
      </c>
      <c r="AC25" s="17">
        <v>5005</v>
      </c>
      <c r="AD25" s="17">
        <v>1</v>
      </c>
      <c r="AE25" s="17">
        <v>62000</v>
      </c>
      <c r="AF25" s="17">
        <v>0</v>
      </c>
      <c r="AG25" s="17">
        <v>1</v>
      </c>
      <c r="AH25" s="17">
        <v>4</v>
      </c>
      <c r="AI25" s="17">
        <v>0</v>
      </c>
      <c r="AJ25" s="17">
        <v>1</v>
      </c>
      <c r="AK25" s="17">
        <v>0</v>
      </c>
      <c r="AL25" s="17">
        <v>13</v>
      </c>
      <c r="AM25" s="17">
        <v>2</v>
      </c>
      <c r="AN25" s="17">
        <v>0</v>
      </c>
      <c r="AO25" s="17">
        <v>0</v>
      </c>
      <c r="AP25" s="17">
        <v>1</v>
      </c>
      <c r="AQ25" s="17">
        <v>184</v>
      </c>
      <c r="AR25" s="17">
        <v>16</v>
      </c>
      <c r="AS25" s="17">
        <v>279</v>
      </c>
      <c r="AT25" s="17">
        <v>77247</v>
      </c>
      <c r="AU25" s="17">
        <v>82056</v>
      </c>
      <c r="AV25" s="17">
        <v>291169.2</v>
      </c>
      <c r="AW25" s="17">
        <v>308530.6</v>
      </c>
      <c r="AX25" s="17">
        <v>13722.7</v>
      </c>
      <c r="AY25" s="17">
        <v>11010.1</v>
      </c>
      <c r="AZ25" s="17">
        <v>185</v>
      </c>
      <c r="BA25" s="17">
        <v>171</v>
      </c>
      <c r="BB25" s="17">
        <v>79610</v>
      </c>
      <c r="BC25" s="17">
        <v>75439</v>
      </c>
      <c r="BD25" s="17">
        <v>478</v>
      </c>
      <c r="BE25" s="17">
        <v>966</v>
      </c>
      <c r="BF25" s="17">
        <v>950</v>
      </c>
      <c r="BG25" s="17">
        <v>140730.1</v>
      </c>
      <c r="BH25" s="17">
        <v>45590.2</v>
      </c>
      <c r="BI25" s="17">
        <v>0</v>
      </c>
      <c r="BJ25" s="17">
        <v>0</v>
      </c>
      <c r="BK25" s="17">
        <v>1</v>
      </c>
      <c r="BL25" s="17">
        <v>0</v>
      </c>
      <c r="BM25" s="17">
        <v>1</v>
      </c>
      <c r="BN25" s="17">
        <v>0</v>
      </c>
      <c r="BO25" s="17">
        <v>0</v>
      </c>
      <c r="BP25" s="17">
        <v>0</v>
      </c>
      <c r="BQ25" s="17">
        <v>0</v>
      </c>
      <c r="BR25" s="17">
        <v>0</v>
      </c>
      <c r="BS25" s="17">
        <v>0</v>
      </c>
      <c r="BT25" s="17">
        <v>99</v>
      </c>
      <c r="BU25" s="17">
        <v>83335</v>
      </c>
      <c r="BV25" s="17">
        <v>83508</v>
      </c>
      <c r="BW25" s="17">
        <v>27394770</v>
      </c>
      <c r="BX25" s="17">
        <v>93959</v>
      </c>
      <c r="BY25" s="17">
        <v>3147</v>
      </c>
    </row>
    <row r="26" spans="1:77">
      <c r="A26" s="17" t="s">
        <v>15</v>
      </c>
      <c r="B26" s="17" t="s">
        <v>180</v>
      </c>
      <c r="C26" s="17" t="s">
        <v>181</v>
      </c>
      <c r="D26" s="17" t="s">
        <v>176</v>
      </c>
      <c r="E26" s="17">
        <v>126.8</v>
      </c>
      <c r="F26" s="17">
        <v>744</v>
      </c>
      <c r="G26" s="17">
        <v>679</v>
      </c>
      <c r="H26" s="17">
        <v>649.4</v>
      </c>
      <c r="I26" s="17">
        <v>9.4</v>
      </c>
      <c r="J26" s="17">
        <v>86097</v>
      </c>
      <c r="K26" s="17">
        <v>94339</v>
      </c>
      <c r="L26" s="17">
        <v>76728</v>
      </c>
      <c r="M26" s="17">
        <v>78482</v>
      </c>
      <c r="N26" s="17">
        <v>77594</v>
      </c>
      <c r="O26" s="17">
        <v>84729</v>
      </c>
      <c r="P26" s="17">
        <v>18910</v>
      </c>
      <c r="Q26" s="17">
        <v>16857</v>
      </c>
      <c r="R26" s="17">
        <v>1192</v>
      </c>
      <c r="S26" s="17">
        <v>1</v>
      </c>
      <c r="T26" s="17">
        <v>4.1</v>
      </c>
      <c r="U26" s="17">
        <v>34</v>
      </c>
      <c r="V26" s="17">
        <v>33</v>
      </c>
      <c r="W26" s="17">
        <v>220843.7</v>
      </c>
      <c r="X26" s="17">
        <v>64490.9</v>
      </c>
      <c r="Y26" s="17">
        <v>1234.9</v>
      </c>
      <c r="Z26" s="17">
        <v>184195</v>
      </c>
      <c r="AA26" s="17">
        <v>53673</v>
      </c>
      <c r="AB26" s="17">
        <v>235582</v>
      </c>
      <c r="AC26" s="17">
        <v>806</v>
      </c>
      <c r="AD26" s="17">
        <v>0</v>
      </c>
      <c r="AE26" s="17">
        <v>70000</v>
      </c>
      <c r="AF26" s="17">
        <v>0</v>
      </c>
      <c r="AG26" s="17">
        <v>0</v>
      </c>
      <c r="AH26" s="17">
        <v>2</v>
      </c>
      <c r="AI26" s="17">
        <v>0</v>
      </c>
      <c r="AJ26" s="17">
        <v>1</v>
      </c>
      <c r="AK26" s="17">
        <v>0</v>
      </c>
      <c r="AL26" s="17">
        <v>12</v>
      </c>
      <c r="AM26" s="17">
        <v>1</v>
      </c>
      <c r="AN26" s="17">
        <v>2</v>
      </c>
      <c r="AO26" s="17">
        <v>2</v>
      </c>
      <c r="AP26" s="17">
        <v>2</v>
      </c>
      <c r="AQ26" s="17">
        <v>203</v>
      </c>
      <c r="AR26" s="17">
        <v>17</v>
      </c>
      <c r="AS26" s="17">
        <v>249</v>
      </c>
      <c r="AT26" s="17">
        <v>77529</v>
      </c>
      <c r="AU26" s="17">
        <v>76544</v>
      </c>
      <c r="AV26" s="17">
        <v>289721.3</v>
      </c>
      <c r="AW26" s="17">
        <v>287805.4</v>
      </c>
      <c r="AX26" s="17">
        <v>14166.6</v>
      </c>
      <c r="AY26" s="17">
        <v>10471.6</v>
      </c>
      <c r="AZ26" s="17">
        <v>289</v>
      </c>
      <c r="BA26" s="17">
        <v>271</v>
      </c>
      <c r="BB26" s="17">
        <v>86419</v>
      </c>
      <c r="BC26" s="17">
        <v>81593</v>
      </c>
      <c r="BD26" s="17">
        <v>1269</v>
      </c>
      <c r="BE26" s="17">
        <v>854</v>
      </c>
      <c r="BF26" s="17">
        <v>848</v>
      </c>
      <c r="BG26" s="17">
        <v>125934</v>
      </c>
      <c r="BH26" s="17">
        <v>46998.8</v>
      </c>
      <c r="BI26" s="17">
        <v>0</v>
      </c>
      <c r="BJ26" s="17">
        <v>0</v>
      </c>
      <c r="BK26" s="17">
        <v>0</v>
      </c>
      <c r="BL26" s="17">
        <v>0</v>
      </c>
      <c r="BM26" s="17">
        <v>1</v>
      </c>
      <c r="BN26" s="17">
        <v>0</v>
      </c>
      <c r="BO26" s="17">
        <v>0</v>
      </c>
      <c r="BP26" s="17">
        <v>0</v>
      </c>
      <c r="BQ26" s="17">
        <v>0</v>
      </c>
      <c r="BR26" s="17">
        <v>0</v>
      </c>
      <c r="BS26" s="17">
        <v>0</v>
      </c>
      <c r="BT26" s="17">
        <v>99</v>
      </c>
      <c r="BU26" s="17">
        <v>76557</v>
      </c>
      <c r="BV26" s="17">
        <v>77850</v>
      </c>
      <c r="BW26" s="17">
        <v>25092390</v>
      </c>
      <c r="BX26" s="17">
        <v>86097</v>
      </c>
      <c r="BY26" s="17">
        <v>1134</v>
      </c>
    </row>
    <row r="27" spans="1:77">
      <c r="A27" s="17" t="s">
        <v>15</v>
      </c>
      <c r="B27" s="17" t="s">
        <v>180</v>
      </c>
      <c r="C27" s="17" t="s">
        <v>181</v>
      </c>
      <c r="D27" s="17" t="s">
        <v>177</v>
      </c>
      <c r="E27" s="17">
        <v>126.8</v>
      </c>
      <c r="F27" s="17">
        <v>720</v>
      </c>
      <c r="G27" s="17">
        <v>718</v>
      </c>
      <c r="H27" s="17">
        <v>690.6</v>
      </c>
      <c r="I27" s="17">
        <v>10.1</v>
      </c>
      <c r="J27" s="17">
        <v>91042</v>
      </c>
      <c r="K27" s="17">
        <v>91296</v>
      </c>
      <c r="L27" s="17">
        <v>79048</v>
      </c>
      <c r="M27" s="17">
        <v>83890</v>
      </c>
      <c r="N27" s="17">
        <v>81694</v>
      </c>
      <c r="O27" s="17">
        <v>90180</v>
      </c>
      <c r="P27" s="17">
        <v>20374</v>
      </c>
      <c r="Q27" s="17">
        <v>18005</v>
      </c>
      <c r="R27" s="17">
        <v>1281</v>
      </c>
      <c r="S27" s="17">
        <v>1</v>
      </c>
      <c r="T27" s="17">
        <v>6.8</v>
      </c>
      <c r="U27" s="17">
        <v>59</v>
      </c>
      <c r="V27" s="17">
        <v>59</v>
      </c>
      <c r="W27" s="17">
        <v>266460.1</v>
      </c>
      <c r="X27" s="17">
        <v>82640.2</v>
      </c>
      <c r="Y27" s="17">
        <v>1127.6</v>
      </c>
      <c r="Z27" s="17">
        <v>178267</v>
      </c>
      <c r="AA27" s="17">
        <v>58385</v>
      </c>
      <c r="AB27" s="17">
        <v>283879</v>
      </c>
      <c r="AC27" s="17">
        <v>0</v>
      </c>
      <c r="AD27" s="17">
        <v>0</v>
      </c>
      <c r="AE27" s="17">
        <v>57000</v>
      </c>
      <c r="AF27" s="17">
        <v>0</v>
      </c>
      <c r="AG27" s="17">
        <v>0</v>
      </c>
      <c r="AH27" s="17">
        <v>3</v>
      </c>
      <c r="AI27" s="17">
        <v>0</v>
      </c>
      <c r="AJ27" s="17">
        <v>1</v>
      </c>
      <c r="AK27" s="17">
        <v>0</v>
      </c>
      <c r="AL27" s="17">
        <v>6</v>
      </c>
      <c r="AM27" s="17">
        <v>1</v>
      </c>
      <c r="AN27" s="17">
        <v>0</v>
      </c>
      <c r="AO27" s="17">
        <v>0</v>
      </c>
      <c r="AP27" s="17">
        <v>0</v>
      </c>
      <c r="AQ27" s="17">
        <v>169</v>
      </c>
      <c r="AR27" s="17">
        <v>12</v>
      </c>
      <c r="AS27" s="17">
        <v>219</v>
      </c>
      <c r="AT27" s="17">
        <v>83171</v>
      </c>
      <c r="AU27" s="17">
        <v>78942</v>
      </c>
      <c r="AV27" s="17">
        <v>310595</v>
      </c>
      <c r="AW27" s="17">
        <v>296821.9</v>
      </c>
      <c r="AX27" s="17">
        <v>16180</v>
      </c>
      <c r="AY27" s="17">
        <v>11077.3</v>
      </c>
      <c r="AZ27" s="17">
        <v>290</v>
      </c>
      <c r="BA27" s="17">
        <v>271</v>
      </c>
      <c r="BB27" s="17">
        <v>90306</v>
      </c>
      <c r="BC27" s="17">
        <v>85528</v>
      </c>
      <c r="BD27" s="17">
        <v>1378</v>
      </c>
      <c r="BE27" s="17">
        <v>1148</v>
      </c>
      <c r="BF27" s="17">
        <v>1193</v>
      </c>
      <c r="BG27" s="17">
        <v>145373</v>
      </c>
      <c r="BH27" s="17">
        <v>45358</v>
      </c>
      <c r="BI27" s="17">
        <v>0</v>
      </c>
      <c r="BJ27" s="17">
        <v>0</v>
      </c>
      <c r="BK27" s="17">
        <v>0</v>
      </c>
      <c r="BL27" s="17">
        <v>0</v>
      </c>
      <c r="BM27" s="17">
        <v>0</v>
      </c>
      <c r="BN27" s="17">
        <v>0</v>
      </c>
      <c r="BO27" s="17">
        <v>0</v>
      </c>
      <c r="BP27" s="17">
        <v>0</v>
      </c>
      <c r="BQ27" s="17">
        <v>0</v>
      </c>
      <c r="BR27" s="17">
        <v>0</v>
      </c>
      <c r="BS27" s="17">
        <v>0</v>
      </c>
      <c r="BT27" s="17">
        <v>99</v>
      </c>
      <c r="BU27" s="17">
        <v>80582</v>
      </c>
      <c r="BV27" s="17">
        <v>80307</v>
      </c>
      <c r="BW27" s="17">
        <v>23556548</v>
      </c>
      <c r="BX27" s="17">
        <v>91042</v>
      </c>
      <c r="BY27" s="17">
        <v>1421</v>
      </c>
    </row>
    <row r="28" spans="1:77">
      <c r="A28" s="17" t="s">
        <v>15</v>
      </c>
      <c r="B28" s="17" t="s">
        <v>180</v>
      </c>
      <c r="C28" s="17" t="s">
        <v>182</v>
      </c>
      <c r="D28" s="17" t="s">
        <v>172</v>
      </c>
      <c r="E28" s="17">
        <v>205</v>
      </c>
      <c r="F28" s="17">
        <v>720</v>
      </c>
      <c r="G28" s="17">
        <v>710</v>
      </c>
      <c r="H28" s="17">
        <v>684.5</v>
      </c>
      <c r="I28" s="17">
        <v>17</v>
      </c>
      <c r="J28" s="17">
        <v>145550</v>
      </c>
      <c r="K28" s="17">
        <v>147600</v>
      </c>
      <c r="L28" s="17">
        <v>129763</v>
      </c>
      <c r="M28" s="17">
        <v>135746</v>
      </c>
      <c r="N28" s="17">
        <v>129454</v>
      </c>
      <c r="O28" s="17">
        <v>144929</v>
      </c>
      <c r="P28" s="17">
        <v>32992</v>
      </c>
      <c r="Q28" s="17">
        <v>28916</v>
      </c>
      <c r="R28" s="17">
        <v>3485</v>
      </c>
      <c r="S28" s="17">
        <v>2</v>
      </c>
      <c r="T28" s="17">
        <v>13.9</v>
      </c>
      <c r="U28" s="17">
        <v>52</v>
      </c>
      <c r="V28" s="17">
        <v>48</v>
      </c>
      <c r="W28" s="17">
        <v>435077.3</v>
      </c>
      <c r="X28" s="17">
        <v>128779.7</v>
      </c>
      <c r="Y28" s="17">
        <v>1262.8</v>
      </c>
      <c r="Z28" s="17">
        <v>292639</v>
      </c>
      <c r="AA28" s="17">
        <v>86136</v>
      </c>
      <c r="AB28" s="17">
        <v>447791</v>
      </c>
      <c r="AC28" s="17">
        <v>2659</v>
      </c>
      <c r="AD28" s="17">
        <v>2</v>
      </c>
      <c r="AE28" s="17">
        <v>88000</v>
      </c>
      <c r="AF28" s="17">
        <v>2</v>
      </c>
      <c r="AG28" s="17">
        <v>0</v>
      </c>
      <c r="AH28" s="17">
        <v>3</v>
      </c>
      <c r="AI28" s="17">
        <v>0</v>
      </c>
      <c r="AJ28" s="17">
        <v>0</v>
      </c>
      <c r="AK28" s="17">
        <v>0</v>
      </c>
      <c r="AL28" s="17">
        <v>12</v>
      </c>
      <c r="AM28" s="17">
        <v>0</v>
      </c>
      <c r="AN28" s="17">
        <v>1</v>
      </c>
      <c r="AO28" s="17">
        <v>0</v>
      </c>
      <c r="AP28" s="17">
        <v>0</v>
      </c>
      <c r="AQ28" s="17">
        <v>134</v>
      </c>
      <c r="AR28" s="17">
        <v>10</v>
      </c>
      <c r="AS28" s="17">
        <v>252</v>
      </c>
      <c r="AT28" s="17">
        <v>126937</v>
      </c>
      <c r="AU28" s="17">
        <v>131046</v>
      </c>
      <c r="AV28" s="17">
        <v>474578.4</v>
      </c>
      <c r="AW28" s="17">
        <v>492733</v>
      </c>
      <c r="AX28" s="17">
        <v>24654.9</v>
      </c>
      <c r="AY28" s="17">
        <v>18002.6</v>
      </c>
      <c r="AZ28" s="17">
        <v>280</v>
      </c>
      <c r="BA28" s="17">
        <v>258</v>
      </c>
      <c r="BB28" s="17">
        <v>140973</v>
      </c>
      <c r="BC28" s="17">
        <v>132586</v>
      </c>
      <c r="BD28" s="17">
        <v>1848</v>
      </c>
      <c r="BE28" s="17">
        <v>1022</v>
      </c>
      <c r="BF28" s="17">
        <v>1097</v>
      </c>
      <c r="BG28" s="17">
        <v>253921.8</v>
      </c>
      <c r="BH28" s="17">
        <v>78167.5</v>
      </c>
      <c r="BI28" s="17">
        <v>0</v>
      </c>
      <c r="BJ28" s="17">
        <v>0</v>
      </c>
      <c r="BK28" s="17">
        <v>0</v>
      </c>
      <c r="BL28" s="17">
        <v>1</v>
      </c>
      <c r="BM28" s="17">
        <v>1</v>
      </c>
      <c r="BN28" s="17">
        <v>0</v>
      </c>
      <c r="BO28" s="17">
        <v>0</v>
      </c>
      <c r="BP28" s="17">
        <v>0</v>
      </c>
      <c r="BQ28" s="17">
        <v>0</v>
      </c>
      <c r="BR28" s="17">
        <v>0</v>
      </c>
      <c r="BS28" s="17">
        <v>0</v>
      </c>
      <c r="BT28" s="17">
        <v>99</v>
      </c>
      <c r="BU28" s="17">
        <v>129733</v>
      </c>
      <c r="BV28" s="17">
        <v>131690</v>
      </c>
      <c r="BW28" s="17">
        <v>72606958</v>
      </c>
      <c r="BX28" s="17">
        <v>145550</v>
      </c>
      <c r="BY28" s="17">
        <v>3973</v>
      </c>
    </row>
    <row r="29" spans="1:77">
      <c r="A29" s="17" t="s">
        <v>15</v>
      </c>
      <c r="B29" s="17" t="s">
        <v>180</v>
      </c>
      <c r="C29" s="17" t="s">
        <v>182</v>
      </c>
      <c r="D29" s="17" t="s">
        <v>173</v>
      </c>
      <c r="E29" s="17">
        <v>205</v>
      </c>
      <c r="F29" s="17">
        <v>744</v>
      </c>
      <c r="G29" s="17">
        <v>674</v>
      </c>
      <c r="H29" s="17">
        <v>642.5</v>
      </c>
      <c r="I29" s="17">
        <v>18.2</v>
      </c>
      <c r="J29" s="17">
        <v>138170</v>
      </c>
      <c r="K29" s="17">
        <v>152520</v>
      </c>
      <c r="L29" s="17">
        <v>121141</v>
      </c>
      <c r="M29" s="17">
        <v>127057</v>
      </c>
      <c r="N29" s="17">
        <v>121753</v>
      </c>
      <c r="O29" s="17">
        <v>132003</v>
      </c>
      <c r="P29" s="17">
        <v>24602</v>
      </c>
      <c r="Q29" s="17">
        <v>21013</v>
      </c>
      <c r="R29" s="17">
        <v>3731</v>
      </c>
      <c r="S29" s="17">
        <v>2</v>
      </c>
      <c r="T29" s="17">
        <v>9.300000000000001</v>
      </c>
      <c r="U29" s="17">
        <v>39</v>
      </c>
      <c r="V29" s="17">
        <v>36</v>
      </c>
      <c r="W29" s="17">
        <v>362340.8</v>
      </c>
      <c r="X29" s="17">
        <v>89550</v>
      </c>
      <c r="Y29" s="17">
        <v>1517.5</v>
      </c>
      <c r="Z29" s="17">
        <v>244417</v>
      </c>
      <c r="AA29" s="17">
        <v>74247</v>
      </c>
      <c r="AB29" s="17">
        <v>353899</v>
      </c>
      <c r="AC29" s="17">
        <v>0</v>
      </c>
      <c r="AD29" s="17">
        <v>0</v>
      </c>
      <c r="AE29" s="17">
        <v>79000</v>
      </c>
      <c r="AF29" s="17">
        <v>0</v>
      </c>
      <c r="AG29" s="17">
        <v>0</v>
      </c>
      <c r="AH29" s="17">
        <v>12</v>
      </c>
      <c r="AI29" s="17">
        <v>0</v>
      </c>
      <c r="AJ29" s="17">
        <v>0</v>
      </c>
      <c r="AK29" s="17">
        <v>0</v>
      </c>
      <c r="AL29" s="17">
        <v>12</v>
      </c>
      <c r="AM29" s="17">
        <v>3</v>
      </c>
      <c r="AN29" s="17">
        <v>2</v>
      </c>
      <c r="AO29" s="17">
        <v>2</v>
      </c>
      <c r="AP29" s="17">
        <v>1</v>
      </c>
      <c r="AQ29" s="17">
        <v>149</v>
      </c>
      <c r="AR29" s="17">
        <v>12</v>
      </c>
      <c r="AS29" s="17">
        <v>222</v>
      </c>
      <c r="AT29" s="17">
        <v>121779</v>
      </c>
      <c r="AU29" s="17">
        <v>122065</v>
      </c>
      <c r="AV29" s="17">
        <v>464614.6</v>
      </c>
      <c r="AW29" s="17">
        <v>458964.4</v>
      </c>
      <c r="AX29" s="17">
        <v>23636.6</v>
      </c>
      <c r="AY29" s="17">
        <v>17476.6</v>
      </c>
      <c r="AZ29" s="17">
        <v>208</v>
      </c>
      <c r="BA29" s="17">
        <v>190</v>
      </c>
      <c r="BB29" s="17">
        <v>128569</v>
      </c>
      <c r="BC29" s="17">
        <v>121230</v>
      </c>
      <c r="BD29" s="17">
        <v>631</v>
      </c>
      <c r="BE29" s="17">
        <v>602</v>
      </c>
      <c r="BF29" s="17">
        <v>628</v>
      </c>
      <c r="BG29" s="17">
        <v>216076.1</v>
      </c>
      <c r="BH29" s="17">
        <v>68076.8</v>
      </c>
      <c r="BI29" s="17">
        <v>0</v>
      </c>
      <c r="BJ29" s="17">
        <v>0</v>
      </c>
      <c r="BK29" s="17">
        <v>0</v>
      </c>
      <c r="BL29" s="17">
        <v>0</v>
      </c>
      <c r="BM29" s="17">
        <v>1</v>
      </c>
      <c r="BN29" s="17">
        <v>0</v>
      </c>
      <c r="BO29" s="17">
        <v>0</v>
      </c>
      <c r="BP29" s="17">
        <v>0</v>
      </c>
      <c r="BQ29" s="17">
        <v>0</v>
      </c>
      <c r="BR29" s="17">
        <v>0</v>
      </c>
      <c r="BS29" s="17">
        <v>0</v>
      </c>
      <c r="BT29" s="17">
        <v>99</v>
      </c>
      <c r="BU29" s="17">
        <v>121668</v>
      </c>
      <c r="BV29" s="17">
        <v>122263</v>
      </c>
      <c r="BW29" s="17">
        <v>48910799</v>
      </c>
      <c r="BX29" s="17">
        <v>138170</v>
      </c>
      <c r="BY29" s="17">
        <v>3744</v>
      </c>
    </row>
    <row r="30" spans="1:77">
      <c r="A30" s="17" t="s">
        <v>15</v>
      </c>
      <c r="B30" s="17" t="s">
        <v>180</v>
      </c>
      <c r="C30" s="17" t="s">
        <v>182</v>
      </c>
      <c r="D30" s="17" t="s">
        <v>174</v>
      </c>
      <c r="E30" s="17">
        <v>205</v>
      </c>
      <c r="F30" s="17">
        <v>720</v>
      </c>
      <c r="G30" s="17">
        <v>713</v>
      </c>
      <c r="H30" s="17">
        <v>680.7</v>
      </c>
      <c r="I30" s="17">
        <v>15.1</v>
      </c>
      <c r="J30" s="17">
        <v>146165</v>
      </c>
      <c r="K30" s="17">
        <v>147600</v>
      </c>
      <c r="L30" s="17">
        <v>131151</v>
      </c>
      <c r="M30" s="17">
        <v>125961</v>
      </c>
      <c r="N30" s="17">
        <v>123027</v>
      </c>
      <c r="O30" s="17">
        <v>137718</v>
      </c>
      <c r="P30" s="17">
        <v>26078</v>
      </c>
      <c r="Q30" s="17">
        <v>23615</v>
      </c>
      <c r="R30" s="17">
        <v>3096</v>
      </c>
      <c r="S30" s="17">
        <v>3</v>
      </c>
      <c r="T30" s="17">
        <v>12</v>
      </c>
      <c r="U30" s="17">
        <v>38</v>
      </c>
      <c r="V30" s="17">
        <v>37</v>
      </c>
      <c r="W30" s="17">
        <v>411518.7</v>
      </c>
      <c r="X30" s="17">
        <v>126359</v>
      </c>
      <c r="Y30" s="17">
        <v>1457</v>
      </c>
      <c r="Z30" s="17">
        <v>277551</v>
      </c>
      <c r="AA30" s="17">
        <v>89682</v>
      </c>
      <c r="AB30" s="17">
        <v>432290</v>
      </c>
      <c r="AC30" s="17">
        <v>11194</v>
      </c>
      <c r="AD30" s="17">
        <v>2</v>
      </c>
      <c r="AE30" s="17">
        <v>64000</v>
      </c>
      <c r="AF30" s="17">
        <v>2</v>
      </c>
      <c r="AG30" s="17">
        <v>0</v>
      </c>
      <c r="AH30" s="17">
        <v>6</v>
      </c>
      <c r="AI30" s="17">
        <v>0</v>
      </c>
      <c r="AJ30" s="17">
        <v>0</v>
      </c>
      <c r="AK30" s="17">
        <v>1</v>
      </c>
      <c r="AL30" s="17">
        <v>3</v>
      </c>
      <c r="AM30" s="17">
        <v>1</v>
      </c>
      <c r="AN30" s="17">
        <v>0</v>
      </c>
      <c r="AO30" s="17">
        <v>0</v>
      </c>
      <c r="AP30" s="17">
        <v>0</v>
      </c>
      <c r="AQ30" s="17">
        <v>249</v>
      </c>
      <c r="AR30" s="17">
        <v>18</v>
      </c>
      <c r="AS30" s="17">
        <v>192</v>
      </c>
      <c r="AT30" s="17">
        <v>122701</v>
      </c>
      <c r="AU30" s="17">
        <v>131018</v>
      </c>
      <c r="AV30" s="17">
        <v>463267.7</v>
      </c>
      <c r="AW30" s="17">
        <v>492627.7</v>
      </c>
      <c r="AX30" s="17">
        <v>26455.3</v>
      </c>
      <c r="AY30" s="17">
        <v>17493.2</v>
      </c>
      <c r="AZ30" s="17">
        <v>187</v>
      </c>
      <c r="BA30" s="17">
        <v>170</v>
      </c>
      <c r="BB30" s="17">
        <v>133988</v>
      </c>
      <c r="BC30" s="17">
        <v>130452</v>
      </c>
      <c r="BD30" s="17">
        <v>617</v>
      </c>
      <c r="BE30" s="17">
        <v>1134</v>
      </c>
      <c r="BF30" s="17">
        <v>1202</v>
      </c>
      <c r="BG30" s="17">
        <v>242243.9</v>
      </c>
      <c r="BH30" s="17">
        <v>89931.10000000001</v>
      </c>
      <c r="BI30" s="17">
        <v>0</v>
      </c>
      <c r="BJ30" s="17">
        <v>1</v>
      </c>
      <c r="BK30" s="17">
        <v>1</v>
      </c>
      <c r="BL30" s="17">
        <v>1</v>
      </c>
      <c r="BM30" s="17">
        <v>1</v>
      </c>
      <c r="BN30" s="17">
        <v>0</v>
      </c>
      <c r="BO30" s="17">
        <v>0</v>
      </c>
      <c r="BP30" s="17">
        <v>0</v>
      </c>
      <c r="BQ30" s="17">
        <v>0</v>
      </c>
      <c r="BR30" s="17">
        <v>0</v>
      </c>
      <c r="BS30" s="17">
        <v>0</v>
      </c>
      <c r="BT30" s="17">
        <v>99</v>
      </c>
      <c r="BU30" s="17">
        <v>132111</v>
      </c>
      <c r="BV30" s="17">
        <v>132015</v>
      </c>
      <c r="BW30" s="17">
        <v>56526721</v>
      </c>
      <c r="BX30" s="17">
        <v>146165</v>
      </c>
      <c r="BY30" s="17">
        <v>2889</v>
      </c>
    </row>
    <row r="31" spans="1:77">
      <c r="A31" s="17" t="s">
        <v>15</v>
      </c>
      <c r="B31" s="17" t="s">
        <v>180</v>
      </c>
      <c r="C31" s="17" t="s">
        <v>182</v>
      </c>
      <c r="D31" s="17" t="s">
        <v>175</v>
      </c>
      <c r="E31" s="17">
        <v>205</v>
      </c>
      <c r="F31" s="17">
        <v>744</v>
      </c>
      <c r="G31" s="17">
        <v>744</v>
      </c>
      <c r="H31" s="17">
        <v>715.3</v>
      </c>
      <c r="I31" s="17">
        <v>13.1</v>
      </c>
      <c r="J31" s="17">
        <v>152520</v>
      </c>
      <c r="K31" s="17">
        <v>152520</v>
      </c>
      <c r="L31" s="17">
        <v>137952</v>
      </c>
      <c r="M31" s="17">
        <v>141931</v>
      </c>
      <c r="N31" s="17">
        <v>136982</v>
      </c>
      <c r="O31" s="17">
        <v>145102</v>
      </c>
      <c r="P31" s="17">
        <v>29563</v>
      </c>
      <c r="Q31" s="17">
        <v>26355</v>
      </c>
      <c r="R31" s="17">
        <v>2686</v>
      </c>
      <c r="S31" s="17">
        <v>1</v>
      </c>
      <c r="T31" s="17">
        <v>6</v>
      </c>
      <c r="U31" s="17">
        <v>58</v>
      </c>
      <c r="V31" s="17">
        <v>57</v>
      </c>
      <c r="W31" s="17">
        <v>444075.7</v>
      </c>
      <c r="X31" s="17">
        <v>131632.2</v>
      </c>
      <c r="Y31" s="17">
        <v>1411.4</v>
      </c>
      <c r="Z31" s="17">
        <v>285264</v>
      </c>
      <c r="AA31" s="17">
        <v>93285</v>
      </c>
      <c r="AB31" s="17">
        <v>457581</v>
      </c>
      <c r="AC31" s="17">
        <v>1175</v>
      </c>
      <c r="AD31" s="17">
        <v>0</v>
      </c>
      <c r="AE31" s="17">
        <v>65000</v>
      </c>
      <c r="AF31" s="17">
        <v>1</v>
      </c>
      <c r="AG31" s="17">
        <v>0</v>
      </c>
      <c r="AH31" s="17">
        <v>3</v>
      </c>
      <c r="AI31" s="17">
        <v>0</v>
      </c>
      <c r="AJ31" s="17">
        <v>0</v>
      </c>
      <c r="AK31" s="17">
        <v>0</v>
      </c>
      <c r="AL31" s="17">
        <v>14</v>
      </c>
      <c r="AM31" s="17">
        <v>4</v>
      </c>
      <c r="AN31" s="17">
        <v>0</v>
      </c>
      <c r="AO31" s="17">
        <v>0</v>
      </c>
      <c r="AP31" s="17">
        <v>1</v>
      </c>
      <c r="AQ31" s="17">
        <v>167</v>
      </c>
      <c r="AR31" s="17">
        <v>14</v>
      </c>
      <c r="AS31" s="17">
        <v>162</v>
      </c>
      <c r="AT31" s="17">
        <v>138862</v>
      </c>
      <c r="AU31" s="17">
        <v>137969</v>
      </c>
      <c r="AV31" s="17">
        <v>525780.3</v>
      </c>
      <c r="AW31" s="17">
        <v>518763.4</v>
      </c>
      <c r="AX31" s="17">
        <v>27030.8</v>
      </c>
      <c r="AY31" s="17">
        <v>17228.8</v>
      </c>
      <c r="AZ31" s="17">
        <v>256</v>
      </c>
      <c r="BA31" s="17">
        <v>239</v>
      </c>
      <c r="BB31" s="17">
        <v>142258</v>
      </c>
      <c r="BC31" s="17">
        <v>135171</v>
      </c>
      <c r="BD31" s="17">
        <v>660</v>
      </c>
      <c r="BE31" s="17">
        <v>910</v>
      </c>
      <c r="BF31" s="17">
        <v>898</v>
      </c>
      <c r="BG31" s="17">
        <v>243517.9</v>
      </c>
      <c r="BH31" s="17">
        <v>87017.8</v>
      </c>
      <c r="BI31" s="17">
        <v>0</v>
      </c>
      <c r="BJ31" s="17">
        <v>1</v>
      </c>
      <c r="BK31" s="17">
        <v>1</v>
      </c>
      <c r="BL31" s="17">
        <v>0</v>
      </c>
      <c r="BM31" s="17">
        <v>1</v>
      </c>
      <c r="BN31" s="17">
        <v>0</v>
      </c>
      <c r="BO31" s="17">
        <v>0</v>
      </c>
      <c r="BP31" s="17">
        <v>0</v>
      </c>
      <c r="BQ31" s="17">
        <v>0</v>
      </c>
      <c r="BR31" s="17">
        <v>0</v>
      </c>
      <c r="BS31" s="17">
        <v>0</v>
      </c>
      <c r="BT31" s="17">
        <v>99</v>
      </c>
      <c r="BU31" s="17">
        <v>140177</v>
      </c>
      <c r="BV31" s="17">
        <v>140153</v>
      </c>
      <c r="BW31" s="17">
        <v>60097020</v>
      </c>
      <c r="BX31" s="17">
        <v>152520</v>
      </c>
      <c r="BY31" s="17">
        <v>2618</v>
      </c>
    </row>
    <row r="32" spans="1:77">
      <c r="A32" s="17" t="s">
        <v>15</v>
      </c>
      <c r="B32" s="17" t="s">
        <v>180</v>
      </c>
      <c r="C32" s="17" t="s">
        <v>182</v>
      </c>
      <c r="D32" s="17" t="s">
        <v>176</v>
      </c>
      <c r="E32" s="17">
        <v>205</v>
      </c>
      <c r="F32" s="17">
        <v>744</v>
      </c>
      <c r="G32" s="17">
        <v>695</v>
      </c>
      <c r="H32" s="17">
        <v>644.6</v>
      </c>
      <c r="I32" s="17">
        <v>34.9</v>
      </c>
      <c r="J32" s="17">
        <v>142475</v>
      </c>
      <c r="K32" s="17">
        <v>152520</v>
      </c>
      <c r="L32" s="17">
        <v>126640</v>
      </c>
      <c r="M32" s="17">
        <v>125577</v>
      </c>
      <c r="N32" s="17">
        <v>123607</v>
      </c>
      <c r="O32" s="17">
        <v>138276</v>
      </c>
      <c r="P32" s="17">
        <v>32113</v>
      </c>
      <c r="Q32" s="17">
        <v>29045</v>
      </c>
      <c r="R32" s="17">
        <v>7154</v>
      </c>
      <c r="S32" s="17">
        <v>4</v>
      </c>
      <c r="T32" s="17">
        <v>30.5</v>
      </c>
      <c r="U32" s="17">
        <v>54</v>
      </c>
      <c r="V32" s="17">
        <v>54</v>
      </c>
      <c r="W32" s="17">
        <v>390308.9</v>
      </c>
      <c r="X32" s="17">
        <v>92794.10000000001</v>
      </c>
      <c r="Y32" s="17">
        <v>1470.7</v>
      </c>
      <c r="Z32" s="17">
        <v>320464</v>
      </c>
      <c r="AA32" s="17">
        <v>79520</v>
      </c>
      <c r="AB32" s="17">
        <v>439606</v>
      </c>
      <c r="AC32" s="17">
        <v>0</v>
      </c>
      <c r="AD32" s="17">
        <v>2</v>
      </c>
      <c r="AE32" s="17">
        <v>68000</v>
      </c>
      <c r="AF32" s="17">
        <v>0</v>
      </c>
      <c r="AG32" s="17">
        <v>0</v>
      </c>
      <c r="AH32" s="17">
        <v>11</v>
      </c>
      <c r="AI32" s="17">
        <v>0</v>
      </c>
      <c r="AJ32" s="17">
        <v>0</v>
      </c>
      <c r="AK32" s="17">
        <v>0</v>
      </c>
      <c r="AL32" s="17">
        <v>8</v>
      </c>
      <c r="AM32" s="17">
        <v>1</v>
      </c>
      <c r="AN32" s="17">
        <v>3</v>
      </c>
      <c r="AO32" s="17">
        <v>3</v>
      </c>
      <c r="AP32" s="17">
        <v>1</v>
      </c>
      <c r="AQ32" s="17">
        <v>185</v>
      </c>
      <c r="AR32" s="17">
        <v>11</v>
      </c>
      <c r="AS32" s="17">
        <v>132</v>
      </c>
      <c r="AT32" s="17">
        <v>122433</v>
      </c>
      <c r="AU32" s="17">
        <v>125687</v>
      </c>
      <c r="AV32" s="17">
        <v>456214</v>
      </c>
      <c r="AW32" s="17">
        <v>472583.1</v>
      </c>
      <c r="AX32" s="17">
        <v>19729.8</v>
      </c>
      <c r="AY32" s="17">
        <v>17527</v>
      </c>
      <c r="AZ32" s="17">
        <v>162</v>
      </c>
      <c r="BA32" s="17">
        <v>147</v>
      </c>
      <c r="BB32" s="17">
        <v>138383</v>
      </c>
      <c r="BC32" s="17">
        <v>134882</v>
      </c>
      <c r="BD32" s="17">
        <v>1069</v>
      </c>
      <c r="BE32" s="17">
        <v>602</v>
      </c>
      <c r="BF32" s="17">
        <v>623</v>
      </c>
      <c r="BG32" s="17">
        <v>204888.7</v>
      </c>
      <c r="BH32" s="17">
        <v>69384.7</v>
      </c>
      <c r="BI32" s="17">
        <v>0</v>
      </c>
      <c r="BJ32" s="17">
        <v>0</v>
      </c>
      <c r="BK32" s="17">
        <v>0</v>
      </c>
      <c r="BL32" s="17">
        <v>0</v>
      </c>
      <c r="BM32" s="17">
        <v>1</v>
      </c>
      <c r="BN32" s="17">
        <v>0</v>
      </c>
      <c r="BO32" s="17">
        <v>1</v>
      </c>
      <c r="BP32" s="17">
        <v>0</v>
      </c>
      <c r="BQ32" s="17">
        <v>0</v>
      </c>
      <c r="BR32" s="17">
        <v>0</v>
      </c>
      <c r="BS32" s="17">
        <v>0</v>
      </c>
      <c r="BT32" s="17">
        <v>99</v>
      </c>
      <c r="BU32" s="17">
        <v>127165</v>
      </c>
      <c r="BV32" s="17">
        <v>127020</v>
      </c>
      <c r="BW32" s="17">
        <v>65248016</v>
      </c>
      <c r="BX32" s="17">
        <v>142475</v>
      </c>
      <c r="BY32" s="17">
        <v>6469</v>
      </c>
    </row>
    <row r="33" spans="1:77">
      <c r="A33" s="17" t="s">
        <v>15</v>
      </c>
      <c r="B33" s="17" t="s">
        <v>180</v>
      </c>
      <c r="C33" s="17" t="s">
        <v>182</v>
      </c>
      <c r="D33" s="17" t="s">
        <v>177</v>
      </c>
      <c r="E33" s="17">
        <v>205</v>
      </c>
      <c r="F33" s="17">
        <v>720</v>
      </c>
      <c r="G33" s="17">
        <v>710</v>
      </c>
      <c r="H33" s="17">
        <v>689.9</v>
      </c>
      <c r="I33" s="17">
        <v>10.2</v>
      </c>
      <c r="J33" s="17">
        <v>145550</v>
      </c>
      <c r="K33" s="17">
        <v>147600</v>
      </c>
      <c r="L33" s="17">
        <v>130881</v>
      </c>
      <c r="M33" s="17">
        <v>134645</v>
      </c>
      <c r="N33" s="17">
        <v>132787</v>
      </c>
      <c r="O33" s="17">
        <v>142400</v>
      </c>
      <c r="P33" s="17">
        <v>28428</v>
      </c>
      <c r="Q33" s="17">
        <v>25111</v>
      </c>
      <c r="R33" s="17">
        <v>2091</v>
      </c>
      <c r="S33" s="17">
        <v>1</v>
      </c>
      <c r="T33" s="17">
        <v>5.2</v>
      </c>
      <c r="U33" s="17">
        <v>42</v>
      </c>
      <c r="V33" s="17">
        <v>41</v>
      </c>
      <c r="W33" s="17">
        <v>398678.1</v>
      </c>
      <c r="X33" s="17">
        <v>92193.89999999999</v>
      </c>
      <c r="Y33" s="17">
        <v>1248.5</v>
      </c>
      <c r="Z33" s="17">
        <v>299945</v>
      </c>
      <c r="AA33" s="17">
        <v>86535</v>
      </c>
      <c r="AB33" s="17">
        <v>425107</v>
      </c>
      <c r="AC33" s="17">
        <v>0</v>
      </c>
      <c r="AD33" s="17">
        <v>1</v>
      </c>
      <c r="AE33" s="17">
        <v>60000</v>
      </c>
      <c r="AF33" s="17">
        <v>0</v>
      </c>
      <c r="AG33" s="17">
        <v>1</v>
      </c>
      <c r="AH33" s="17">
        <v>9</v>
      </c>
      <c r="AI33" s="17">
        <v>0</v>
      </c>
      <c r="AJ33" s="17">
        <v>0</v>
      </c>
      <c r="AK33" s="17">
        <v>0</v>
      </c>
      <c r="AL33" s="17">
        <v>6</v>
      </c>
      <c r="AM33" s="17">
        <v>0</v>
      </c>
      <c r="AN33" s="17">
        <v>0</v>
      </c>
      <c r="AO33" s="17">
        <v>0</v>
      </c>
      <c r="AP33" s="17">
        <v>0</v>
      </c>
      <c r="AQ33" s="17">
        <v>198</v>
      </c>
      <c r="AR33" s="17">
        <v>15</v>
      </c>
      <c r="AS33" s="17">
        <v>102</v>
      </c>
      <c r="AT33" s="17">
        <v>134472</v>
      </c>
      <c r="AU33" s="17">
        <v>130597</v>
      </c>
      <c r="AV33" s="17">
        <v>506388.4</v>
      </c>
      <c r="AW33" s="17">
        <v>491044.7</v>
      </c>
      <c r="AX33" s="17">
        <v>22330.4</v>
      </c>
      <c r="AY33" s="17">
        <v>17627.7</v>
      </c>
      <c r="AZ33" s="17">
        <v>284</v>
      </c>
      <c r="BA33" s="17">
        <v>261</v>
      </c>
      <c r="BB33" s="17">
        <v>138360</v>
      </c>
      <c r="BC33" s="17">
        <v>136947</v>
      </c>
      <c r="BD33" s="17">
        <v>1389</v>
      </c>
      <c r="BE33" s="17">
        <v>868</v>
      </c>
      <c r="BF33" s="17">
        <v>926</v>
      </c>
      <c r="BG33" s="17">
        <v>229069.1</v>
      </c>
      <c r="BH33" s="17">
        <v>81412.2</v>
      </c>
      <c r="BI33" s="17">
        <v>1</v>
      </c>
      <c r="BJ33" s="17">
        <v>0</v>
      </c>
      <c r="BK33" s="17">
        <v>0</v>
      </c>
      <c r="BL33" s="17">
        <v>0</v>
      </c>
      <c r="BM33" s="17">
        <v>1</v>
      </c>
      <c r="BN33" s="17">
        <v>0</v>
      </c>
      <c r="BO33" s="17">
        <v>0</v>
      </c>
      <c r="BP33" s="17">
        <v>0</v>
      </c>
      <c r="BQ33" s="17">
        <v>0</v>
      </c>
      <c r="BR33" s="17">
        <v>0</v>
      </c>
      <c r="BS33" s="17">
        <v>0</v>
      </c>
      <c r="BT33" s="17">
        <v>99</v>
      </c>
      <c r="BU33" s="17">
        <v>133388</v>
      </c>
      <c r="BV33" s="17">
        <v>134036</v>
      </c>
      <c r="BW33" s="17">
        <v>67486316</v>
      </c>
      <c r="BX33" s="17">
        <v>145550</v>
      </c>
      <c r="BY33" s="17">
        <v>2268</v>
      </c>
    </row>
    <row r="34" spans="1:77">
      <c r="A34" s="17" t="s">
        <v>15</v>
      </c>
      <c r="B34" s="17" t="s">
        <v>180</v>
      </c>
      <c r="C34" s="17" t="s">
        <v>183</v>
      </c>
      <c r="D34" s="17" t="s">
        <v>172</v>
      </c>
      <c r="E34" s="17">
        <v>158.2</v>
      </c>
      <c r="F34" s="17">
        <v>720</v>
      </c>
      <c r="G34" s="17">
        <v>716</v>
      </c>
      <c r="H34" s="17">
        <v>694.1</v>
      </c>
      <c r="I34" s="17">
        <v>10.8</v>
      </c>
      <c r="J34" s="17">
        <v>113271</v>
      </c>
      <c r="K34" s="17">
        <v>113904</v>
      </c>
      <c r="L34" s="17">
        <v>99263</v>
      </c>
      <c r="M34" s="17">
        <v>106301</v>
      </c>
      <c r="N34" s="17">
        <v>101956</v>
      </c>
      <c r="O34" s="17">
        <v>109614</v>
      </c>
      <c r="P34" s="17">
        <v>26222</v>
      </c>
      <c r="Q34" s="17">
        <v>22359</v>
      </c>
      <c r="R34" s="17">
        <v>1709</v>
      </c>
      <c r="S34" s="17">
        <v>1</v>
      </c>
      <c r="T34" s="17">
        <v>3.1</v>
      </c>
      <c r="U34" s="17">
        <v>39</v>
      </c>
      <c r="V34" s="17">
        <v>37</v>
      </c>
      <c r="W34" s="17">
        <v>268423.8</v>
      </c>
      <c r="X34" s="17">
        <v>65884.39999999999</v>
      </c>
      <c r="Y34" s="17">
        <v>1044.7</v>
      </c>
      <c r="Z34" s="17">
        <v>209508</v>
      </c>
      <c r="AA34" s="17">
        <v>61037</v>
      </c>
      <c r="AB34" s="17">
        <v>339430</v>
      </c>
      <c r="AC34" s="17">
        <v>0</v>
      </c>
      <c r="AD34" s="17">
        <v>2</v>
      </c>
      <c r="AE34" s="17">
        <v>68000</v>
      </c>
      <c r="AF34" s="17">
        <v>0</v>
      </c>
      <c r="AG34" s="17">
        <v>0</v>
      </c>
      <c r="AH34" s="17">
        <v>10</v>
      </c>
      <c r="AI34" s="17">
        <v>0</v>
      </c>
      <c r="AJ34" s="17">
        <v>1</v>
      </c>
      <c r="AK34" s="17">
        <v>1</v>
      </c>
      <c r="AL34" s="17">
        <v>9</v>
      </c>
      <c r="AM34" s="17">
        <v>1</v>
      </c>
      <c r="AN34" s="17">
        <v>2</v>
      </c>
      <c r="AO34" s="17">
        <v>2</v>
      </c>
      <c r="AP34" s="17">
        <v>0</v>
      </c>
      <c r="AQ34" s="17">
        <v>184</v>
      </c>
      <c r="AR34" s="17">
        <v>6</v>
      </c>
      <c r="AS34" s="17">
        <v>260</v>
      </c>
      <c r="AT34" s="17">
        <v>101299</v>
      </c>
      <c r="AU34" s="17">
        <v>98345</v>
      </c>
      <c r="AV34" s="17">
        <v>385873.6</v>
      </c>
      <c r="AW34" s="17">
        <v>369777.2</v>
      </c>
      <c r="AX34" s="17">
        <v>18748</v>
      </c>
      <c r="AY34" s="17">
        <v>13648.2</v>
      </c>
      <c r="AZ34" s="17">
        <v>295</v>
      </c>
      <c r="BA34" s="17">
        <v>267</v>
      </c>
      <c r="BB34" s="17">
        <v>107455</v>
      </c>
      <c r="BC34" s="17">
        <v>105426</v>
      </c>
      <c r="BD34" s="17">
        <v>1142</v>
      </c>
      <c r="BE34" s="17">
        <v>588</v>
      </c>
      <c r="BF34" s="17">
        <v>596</v>
      </c>
      <c r="BG34" s="17">
        <v>157029</v>
      </c>
      <c r="BH34" s="17">
        <v>49890.3</v>
      </c>
      <c r="BI34" s="17">
        <v>0</v>
      </c>
      <c r="BJ34" s="17">
        <v>1</v>
      </c>
      <c r="BK34" s="17">
        <v>0</v>
      </c>
      <c r="BL34" s="17">
        <v>0</v>
      </c>
      <c r="BM34" s="17">
        <v>0</v>
      </c>
      <c r="BN34" s="17">
        <v>0</v>
      </c>
      <c r="BO34" s="17">
        <v>0</v>
      </c>
      <c r="BP34" s="17">
        <v>0</v>
      </c>
      <c r="BQ34" s="17">
        <v>0</v>
      </c>
      <c r="BR34" s="17">
        <v>0</v>
      </c>
      <c r="BS34" s="17">
        <v>0</v>
      </c>
      <c r="BT34" s="17">
        <v>99</v>
      </c>
      <c r="BU34" s="17">
        <v>100974</v>
      </c>
      <c r="BV34" s="17">
        <v>102566</v>
      </c>
      <c r="BW34" s="17">
        <v>37117018</v>
      </c>
      <c r="BX34" s="17">
        <v>113271</v>
      </c>
      <c r="BY34" s="17">
        <v>1754</v>
      </c>
    </row>
    <row r="35" spans="1:77">
      <c r="A35" s="17" t="s">
        <v>15</v>
      </c>
      <c r="B35" s="17" t="s">
        <v>180</v>
      </c>
      <c r="C35" s="17" t="s">
        <v>183</v>
      </c>
      <c r="D35" s="17" t="s">
        <v>173</v>
      </c>
      <c r="E35" s="17">
        <v>158.2</v>
      </c>
      <c r="F35" s="17">
        <v>744</v>
      </c>
      <c r="G35" s="17">
        <v>678</v>
      </c>
      <c r="H35" s="17">
        <v>650</v>
      </c>
      <c r="I35" s="17">
        <v>20.8</v>
      </c>
      <c r="J35" s="17">
        <v>107260</v>
      </c>
      <c r="K35" s="17">
        <v>117701</v>
      </c>
      <c r="L35" s="17">
        <v>93083</v>
      </c>
      <c r="M35" s="17">
        <v>93387</v>
      </c>
      <c r="N35" s="17">
        <v>90953</v>
      </c>
      <c r="O35" s="17">
        <v>96185</v>
      </c>
      <c r="P35" s="17">
        <v>18622</v>
      </c>
      <c r="Q35" s="17">
        <v>16188</v>
      </c>
      <c r="R35" s="17">
        <v>3291</v>
      </c>
      <c r="S35" s="17">
        <v>3</v>
      </c>
      <c r="T35" s="17">
        <v>14.6</v>
      </c>
      <c r="U35" s="17">
        <v>51</v>
      </c>
      <c r="V35" s="17">
        <v>49</v>
      </c>
      <c r="W35" s="17">
        <v>257302.8</v>
      </c>
      <c r="X35" s="17">
        <v>71687.7</v>
      </c>
      <c r="Y35" s="17">
        <v>1471.8</v>
      </c>
      <c r="Z35" s="17">
        <v>170103</v>
      </c>
      <c r="AA35" s="17">
        <v>63809</v>
      </c>
      <c r="AB35" s="17">
        <v>283826</v>
      </c>
      <c r="AC35" s="17">
        <v>2043</v>
      </c>
      <c r="AD35" s="17">
        <v>0</v>
      </c>
      <c r="AE35" s="17">
        <v>59000</v>
      </c>
      <c r="AF35" s="17">
        <v>0</v>
      </c>
      <c r="AG35" s="17">
        <v>1</v>
      </c>
      <c r="AH35" s="17">
        <v>8</v>
      </c>
      <c r="AI35" s="17">
        <v>1</v>
      </c>
      <c r="AJ35" s="17">
        <v>0</v>
      </c>
      <c r="AK35" s="17">
        <v>0</v>
      </c>
      <c r="AL35" s="17">
        <v>6</v>
      </c>
      <c r="AM35" s="17">
        <v>2</v>
      </c>
      <c r="AN35" s="17">
        <v>2</v>
      </c>
      <c r="AO35" s="17">
        <v>2</v>
      </c>
      <c r="AP35" s="17">
        <v>0</v>
      </c>
      <c r="AQ35" s="17">
        <v>185</v>
      </c>
      <c r="AR35" s="17">
        <v>15</v>
      </c>
      <c r="AS35" s="17">
        <v>230</v>
      </c>
      <c r="AT35" s="17">
        <v>90871</v>
      </c>
      <c r="AU35" s="17">
        <v>93216</v>
      </c>
      <c r="AV35" s="17">
        <v>342109.1</v>
      </c>
      <c r="AW35" s="17">
        <v>350492.2</v>
      </c>
      <c r="AX35" s="17">
        <v>17781.8</v>
      </c>
      <c r="AY35" s="17">
        <v>13824</v>
      </c>
      <c r="AZ35" s="17">
        <v>241</v>
      </c>
      <c r="BA35" s="17">
        <v>227</v>
      </c>
      <c r="BB35" s="17">
        <v>95198</v>
      </c>
      <c r="BC35" s="17">
        <v>90404</v>
      </c>
      <c r="BD35" s="17">
        <v>1137</v>
      </c>
      <c r="BE35" s="17">
        <v>644</v>
      </c>
      <c r="BF35" s="17">
        <v>677</v>
      </c>
      <c r="BG35" s="17">
        <v>140906.8</v>
      </c>
      <c r="BH35" s="17">
        <v>49975.8</v>
      </c>
      <c r="BI35" s="17">
        <v>0</v>
      </c>
      <c r="BJ35" s="17">
        <v>0</v>
      </c>
      <c r="BK35" s="17">
        <v>0</v>
      </c>
      <c r="BL35" s="17">
        <v>0</v>
      </c>
      <c r="BM35" s="17">
        <v>0</v>
      </c>
      <c r="BN35" s="17">
        <v>0</v>
      </c>
      <c r="BO35" s="17">
        <v>0</v>
      </c>
      <c r="BP35" s="17">
        <v>0</v>
      </c>
      <c r="BQ35" s="17">
        <v>0</v>
      </c>
      <c r="BR35" s="17">
        <v>0</v>
      </c>
      <c r="BS35" s="17">
        <v>0</v>
      </c>
      <c r="BT35" s="17">
        <v>99</v>
      </c>
      <c r="BU35" s="17">
        <v>92594</v>
      </c>
      <c r="BV35" s="17">
        <v>92936</v>
      </c>
      <c r="BW35" s="17">
        <v>34945088</v>
      </c>
      <c r="BX35" s="17">
        <v>107260</v>
      </c>
      <c r="BY35" s="17">
        <v>3512</v>
      </c>
    </row>
    <row r="36" spans="1:77">
      <c r="A36" s="17" t="s">
        <v>15</v>
      </c>
      <c r="B36" s="17" t="s">
        <v>180</v>
      </c>
      <c r="C36" s="17" t="s">
        <v>183</v>
      </c>
      <c r="D36" s="17" t="s">
        <v>174</v>
      </c>
      <c r="E36" s="17">
        <v>158.2</v>
      </c>
      <c r="F36" s="17">
        <v>720</v>
      </c>
      <c r="G36" s="17">
        <v>710</v>
      </c>
      <c r="H36" s="17">
        <v>685.1</v>
      </c>
      <c r="I36" s="17">
        <v>7.6</v>
      </c>
      <c r="J36" s="17">
        <v>112322</v>
      </c>
      <c r="K36" s="17">
        <v>113904</v>
      </c>
      <c r="L36" s="17">
        <v>101737</v>
      </c>
      <c r="M36" s="17">
        <v>99375</v>
      </c>
      <c r="N36" s="17">
        <v>97786</v>
      </c>
      <c r="O36" s="17">
        <v>109226</v>
      </c>
      <c r="P36" s="17">
        <v>20553</v>
      </c>
      <c r="Q36" s="17">
        <v>17742</v>
      </c>
      <c r="R36" s="17">
        <v>1202</v>
      </c>
      <c r="S36" s="17">
        <v>1</v>
      </c>
      <c r="T36" s="17">
        <v>4</v>
      </c>
      <c r="U36" s="17">
        <v>34</v>
      </c>
      <c r="V36" s="17">
        <v>34</v>
      </c>
      <c r="W36" s="17">
        <v>293503.6</v>
      </c>
      <c r="X36" s="17">
        <v>70567.7</v>
      </c>
      <c r="Y36" s="17">
        <v>953.1</v>
      </c>
      <c r="Z36" s="17">
        <v>209475</v>
      </c>
      <c r="AA36" s="17">
        <v>54476</v>
      </c>
      <c r="AB36" s="17">
        <v>289664</v>
      </c>
      <c r="AC36" s="17">
        <v>4506</v>
      </c>
      <c r="AD36" s="17">
        <v>2</v>
      </c>
      <c r="AE36" s="17">
        <v>93000</v>
      </c>
      <c r="AF36" s="17">
        <v>0</v>
      </c>
      <c r="AG36" s="17">
        <v>0</v>
      </c>
      <c r="AH36" s="17">
        <v>5</v>
      </c>
      <c r="AI36" s="17">
        <v>0</v>
      </c>
      <c r="AJ36" s="17">
        <v>0</v>
      </c>
      <c r="AK36" s="17">
        <v>0</v>
      </c>
      <c r="AL36" s="17">
        <v>12</v>
      </c>
      <c r="AM36" s="17">
        <v>2</v>
      </c>
      <c r="AN36" s="17">
        <v>3</v>
      </c>
      <c r="AO36" s="17">
        <v>3</v>
      </c>
      <c r="AP36" s="17">
        <v>0</v>
      </c>
      <c r="AQ36" s="17">
        <v>175</v>
      </c>
      <c r="AR36" s="17">
        <v>8</v>
      </c>
      <c r="AS36" s="17">
        <v>200</v>
      </c>
      <c r="AT36" s="17">
        <v>98065</v>
      </c>
      <c r="AU36" s="17">
        <v>101979</v>
      </c>
      <c r="AV36" s="17">
        <v>370258</v>
      </c>
      <c r="AW36" s="17">
        <v>383441</v>
      </c>
      <c r="AX36" s="17">
        <v>20211.4</v>
      </c>
      <c r="AY36" s="17">
        <v>13649.9</v>
      </c>
      <c r="AZ36" s="17">
        <v>297</v>
      </c>
      <c r="BA36" s="17">
        <v>281</v>
      </c>
      <c r="BB36" s="17">
        <v>109737</v>
      </c>
      <c r="BC36" s="17">
        <v>106134</v>
      </c>
      <c r="BD36" s="17">
        <v>581</v>
      </c>
      <c r="BE36" s="17">
        <v>588</v>
      </c>
      <c r="BF36" s="17">
        <v>581</v>
      </c>
      <c r="BG36" s="17">
        <v>161033.6</v>
      </c>
      <c r="BH36" s="17">
        <v>57752.7</v>
      </c>
      <c r="BI36" s="17">
        <v>0</v>
      </c>
      <c r="BJ36" s="17">
        <v>0</v>
      </c>
      <c r="BK36" s="17">
        <v>1</v>
      </c>
      <c r="BL36" s="17">
        <v>0</v>
      </c>
      <c r="BM36" s="17">
        <v>0</v>
      </c>
      <c r="BN36" s="17">
        <v>0</v>
      </c>
      <c r="BO36" s="17">
        <v>0</v>
      </c>
      <c r="BP36" s="17">
        <v>0</v>
      </c>
      <c r="BQ36" s="17">
        <v>0</v>
      </c>
      <c r="BR36" s="17">
        <v>0</v>
      </c>
      <c r="BS36" s="17">
        <v>0</v>
      </c>
      <c r="BT36" s="17">
        <v>99</v>
      </c>
      <c r="BU36" s="17">
        <v>102705</v>
      </c>
      <c r="BV36" s="17">
        <v>103273</v>
      </c>
      <c r="BW36" s="17">
        <v>40049632</v>
      </c>
      <c r="BX36" s="17">
        <v>112322</v>
      </c>
      <c r="BY36" s="17">
        <v>1031</v>
      </c>
    </row>
    <row r="37" spans="1:77">
      <c r="A37" s="17" t="s">
        <v>15</v>
      </c>
      <c r="B37" s="17" t="s">
        <v>180</v>
      </c>
      <c r="C37" s="17" t="s">
        <v>183</v>
      </c>
      <c r="D37" s="17" t="s">
        <v>175</v>
      </c>
      <c r="E37" s="17">
        <v>158.2</v>
      </c>
      <c r="F37" s="17">
        <v>744</v>
      </c>
      <c r="G37" s="17">
        <v>738</v>
      </c>
      <c r="H37" s="17">
        <v>699.9</v>
      </c>
      <c r="I37" s="17">
        <v>23.1</v>
      </c>
      <c r="J37" s="17">
        <v>116752</v>
      </c>
      <c r="K37" s="17">
        <v>117701</v>
      </c>
      <c r="L37" s="17">
        <v>103750</v>
      </c>
      <c r="M37" s="17">
        <v>103911</v>
      </c>
      <c r="N37" s="17">
        <v>100958</v>
      </c>
      <c r="O37" s="17">
        <v>112227</v>
      </c>
      <c r="P37" s="17">
        <v>21719</v>
      </c>
      <c r="Q37" s="17">
        <v>18318</v>
      </c>
      <c r="R37" s="17">
        <v>3654</v>
      </c>
      <c r="S37" s="17">
        <v>3</v>
      </c>
      <c r="T37" s="17">
        <v>16.9</v>
      </c>
      <c r="U37" s="17">
        <v>31</v>
      </c>
      <c r="V37" s="17">
        <v>29</v>
      </c>
      <c r="W37" s="17">
        <v>315593.3</v>
      </c>
      <c r="X37" s="17">
        <v>100678.8</v>
      </c>
      <c r="Y37" s="17">
        <v>1062.1</v>
      </c>
      <c r="Z37" s="17">
        <v>220957</v>
      </c>
      <c r="AA37" s="17">
        <v>68538</v>
      </c>
      <c r="AB37" s="17">
        <v>303194</v>
      </c>
      <c r="AC37" s="17">
        <v>1940</v>
      </c>
      <c r="AD37" s="17">
        <v>0</v>
      </c>
      <c r="AE37" s="17">
        <v>86000</v>
      </c>
      <c r="AF37" s="17">
        <v>0</v>
      </c>
      <c r="AG37" s="17">
        <v>0</v>
      </c>
      <c r="AH37" s="17">
        <v>6</v>
      </c>
      <c r="AI37" s="17">
        <v>0</v>
      </c>
      <c r="AJ37" s="17">
        <v>0</v>
      </c>
      <c r="AK37" s="17">
        <v>0</v>
      </c>
      <c r="AL37" s="17">
        <v>9</v>
      </c>
      <c r="AM37" s="17">
        <v>1</v>
      </c>
      <c r="AN37" s="17">
        <v>3</v>
      </c>
      <c r="AO37" s="17">
        <v>2</v>
      </c>
      <c r="AP37" s="17">
        <v>2</v>
      </c>
      <c r="AQ37" s="17">
        <v>153</v>
      </c>
      <c r="AR37" s="17">
        <v>12</v>
      </c>
      <c r="AS37" s="17">
        <v>170</v>
      </c>
      <c r="AT37" s="17">
        <v>101316</v>
      </c>
      <c r="AU37" s="17">
        <v>103289</v>
      </c>
      <c r="AV37" s="17">
        <v>378066.9</v>
      </c>
      <c r="AW37" s="17">
        <v>388366.6</v>
      </c>
      <c r="AX37" s="17">
        <v>16684.9</v>
      </c>
      <c r="AY37" s="17">
        <v>13335.2</v>
      </c>
      <c r="AZ37" s="17">
        <v>280</v>
      </c>
      <c r="BA37" s="17">
        <v>262</v>
      </c>
      <c r="BB37" s="17">
        <v>110299</v>
      </c>
      <c r="BC37" s="17">
        <v>108493</v>
      </c>
      <c r="BD37" s="17">
        <v>919</v>
      </c>
      <c r="BE37" s="17">
        <v>1190</v>
      </c>
      <c r="BF37" s="17">
        <v>1199</v>
      </c>
      <c r="BG37" s="17">
        <v>174672.2</v>
      </c>
      <c r="BH37" s="17">
        <v>59403.4</v>
      </c>
      <c r="BI37" s="17">
        <v>0</v>
      </c>
      <c r="BJ37" s="17">
        <v>0</v>
      </c>
      <c r="BK37" s="17">
        <v>0</v>
      </c>
      <c r="BL37" s="17">
        <v>1</v>
      </c>
      <c r="BM37" s="17">
        <v>1</v>
      </c>
      <c r="BN37" s="17">
        <v>0</v>
      </c>
      <c r="BO37" s="17">
        <v>0</v>
      </c>
      <c r="BP37" s="17">
        <v>0</v>
      </c>
      <c r="BQ37" s="17">
        <v>0</v>
      </c>
      <c r="BR37" s="17">
        <v>0</v>
      </c>
      <c r="BS37" s="17">
        <v>0</v>
      </c>
      <c r="BT37" s="17">
        <v>99</v>
      </c>
      <c r="BU37" s="17">
        <v>104924</v>
      </c>
      <c r="BV37" s="17">
        <v>107181</v>
      </c>
      <c r="BW37" s="17">
        <v>46432093</v>
      </c>
      <c r="BX37" s="17">
        <v>116752</v>
      </c>
      <c r="BY37" s="17">
        <v>3277</v>
      </c>
    </row>
    <row r="38" spans="1:77">
      <c r="A38" s="17" t="s">
        <v>15</v>
      </c>
      <c r="B38" s="17" t="s">
        <v>180</v>
      </c>
      <c r="C38" s="17" t="s">
        <v>183</v>
      </c>
      <c r="D38" s="17" t="s">
        <v>176</v>
      </c>
      <c r="E38" s="17">
        <v>158.2</v>
      </c>
      <c r="F38" s="17">
        <v>744</v>
      </c>
      <c r="G38" s="17">
        <v>744</v>
      </c>
      <c r="H38" s="17">
        <v>702</v>
      </c>
      <c r="I38" s="17">
        <v>23.5</v>
      </c>
      <c r="J38" s="17">
        <v>117701</v>
      </c>
      <c r="K38" s="17">
        <v>117701</v>
      </c>
      <c r="L38" s="17">
        <v>105368</v>
      </c>
      <c r="M38" s="17">
        <v>100223</v>
      </c>
      <c r="N38" s="17">
        <v>97315</v>
      </c>
      <c r="O38" s="17">
        <v>105052</v>
      </c>
      <c r="P38" s="17">
        <v>24299</v>
      </c>
      <c r="Q38" s="17">
        <v>21958</v>
      </c>
      <c r="R38" s="17">
        <v>3718</v>
      </c>
      <c r="S38" s="17">
        <v>4</v>
      </c>
      <c r="T38" s="17">
        <v>14.8</v>
      </c>
      <c r="U38" s="17">
        <v>30</v>
      </c>
      <c r="V38" s="17">
        <v>30</v>
      </c>
      <c r="W38" s="17">
        <v>329106.6</v>
      </c>
      <c r="X38" s="17">
        <v>89325.10000000001</v>
      </c>
      <c r="Y38" s="17">
        <v>1485.5</v>
      </c>
      <c r="Z38" s="17">
        <v>185666</v>
      </c>
      <c r="AA38" s="17">
        <v>60804</v>
      </c>
      <c r="AB38" s="17">
        <v>349459</v>
      </c>
      <c r="AC38" s="17">
        <v>5827</v>
      </c>
      <c r="AD38" s="17">
        <v>2</v>
      </c>
      <c r="AE38" s="17">
        <v>57000</v>
      </c>
      <c r="AF38" s="17">
        <v>1</v>
      </c>
      <c r="AG38" s="17">
        <v>0</v>
      </c>
      <c r="AH38" s="17">
        <v>10</v>
      </c>
      <c r="AI38" s="17">
        <v>0</v>
      </c>
      <c r="AJ38" s="17">
        <v>0</v>
      </c>
      <c r="AK38" s="17">
        <v>0</v>
      </c>
      <c r="AL38" s="17">
        <v>6</v>
      </c>
      <c r="AM38" s="17">
        <v>0</v>
      </c>
      <c r="AN38" s="17">
        <v>3</v>
      </c>
      <c r="AO38" s="17">
        <v>3</v>
      </c>
      <c r="AP38" s="17">
        <v>0</v>
      </c>
      <c r="AQ38" s="17">
        <v>231</v>
      </c>
      <c r="AR38" s="17">
        <v>8</v>
      </c>
      <c r="AS38" s="17">
        <v>140</v>
      </c>
      <c r="AT38" s="17">
        <v>95918</v>
      </c>
      <c r="AU38" s="17">
        <v>104584</v>
      </c>
      <c r="AV38" s="17">
        <v>359088.5</v>
      </c>
      <c r="AW38" s="17">
        <v>393235.8</v>
      </c>
      <c r="AX38" s="17">
        <v>19129.8</v>
      </c>
      <c r="AY38" s="17">
        <v>13346.9</v>
      </c>
      <c r="AZ38" s="17">
        <v>255</v>
      </c>
      <c r="BA38" s="17">
        <v>239</v>
      </c>
      <c r="BB38" s="17">
        <v>107841</v>
      </c>
      <c r="BC38" s="17">
        <v>105998</v>
      </c>
      <c r="BD38" s="17">
        <v>1081</v>
      </c>
      <c r="BE38" s="17">
        <v>1078</v>
      </c>
      <c r="BF38" s="17">
        <v>1065</v>
      </c>
      <c r="BG38" s="17">
        <v>167610.1</v>
      </c>
      <c r="BH38" s="17">
        <v>56483.5</v>
      </c>
      <c r="BI38" s="17">
        <v>0</v>
      </c>
      <c r="BJ38" s="17">
        <v>0</v>
      </c>
      <c r="BK38" s="17">
        <v>0</v>
      </c>
      <c r="BL38" s="17">
        <v>1</v>
      </c>
      <c r="BM38" s="17">
        <v>0</v>
      </c>
      <c r="BN38" s="17">
        <v>0</v>
      </c>
      <c r="BO38" s="17">
        <v>0</v>
      </c>
      <c r="BP38" s="17">
        <v>0</v>
      </c>
      <c r="BQ38" s="17">
        <v>0</v>
      </c>
      <c r="BR38" s="17">
        <v>0</v>
      </c>
      <c r="BS38" s="17">
        <v>0</v>
      </c>
      <c r="BT38" s="17">
        <v>99</v>
      </c>
      <c r="BU38" s="17">
        <v>104978</v>
      </c>
      <c r="BV38" s="17">
        <v>106463</v>
      </c>
      <c r="BW38" s="17">
        <v>40888261</v>
      </c>
      <c r="BX38" s="17">
        <v>117701</v>
      </c>
      <c r="BY38" s="17">
        <v>4166</v>
      </c>
    </row>
    <row r="39" spans="1:77">
      <c r="A39" s="17" t="s">
        <v>15</v>
      </c>
      <c r="B39" s="17" t="s">
        <v>180</v>
      </c>
      <c r="C39" s="17" t="s">
        <v>183</v>
      </c>
      <c r="D39" s="17" t="s">
        <v>177</v>
      </c>
      <c r="E39" s="17">
        <v>158.2</v>
      </c>
      <c r="F39" s="17">
        <v>720</v>
      </c>
      <c r="G39" s="17">
        <v>712</v>
      </c>
      <c r="H39" s="17">
        <v>680.7</v>
      </c>
      <c r="I39" s="17">
        <v>13.4</v>
      </c>
      <c r="J39" s="17">
        <v>112638</v>
      </c>
      <c r="K39" s="17">
        <v>113904</v>
      </c>
      <c r="L39" s="17">
        <v>98037</v>
      </c>
      <c r="M39" s="17">
        <v>97437</v>
      </c>
      <c r="N39" s="17">
        <v>94388</v>
      </c>
      <c r="O39" s="17">
        <v>101633</v>
      </c>
      <c r="P39" s="17">
        <v>20587</v>
      </c>
      <c r="Q39" s="17">
        <v>17410</v>
      </c>
      <c r="R39" s="17">
        <v>2120</v>
      </c>
      <c r="S39" s="17">
        <v>1</v>
      </c>
      <c r="T39" s="17">
        <v>6.5</v>
      </c>
      <c r="U39" s="17">
        <v>36</v>
      </c>
      <c r="V39" s="17">
        <v>34</v>
      </c>
      <c r="W39" s="17">
        <v>262617.2</v>
      </c>
      <c r="X39" s="17">
        <v>65862.8</v>
      </c>
      <c r="Y39" s="17">
        <v>1573</v>
      </c>
      <c r="Z39" s="17">
        <v>230619</v>
      </c>
      <c r="AA39" s="17">
        <v>63239</v>
      </c>
      <c r="AB39" s="17">
        <v>287280</v>
      </c>
      <c r="AC39" s="17">
        <v>5880</v>
      </c>
      <c r="AD39" s="17">
        <v>1</v>
      </c>
      <c r="AE39" s="17">
        <v>89000</v>
      </c>
      <c r="AF39" s="17">
        <v>0</v>
      </c>
      <c r="AG39" s="17">
        <v>1</v>
      </c>
      <c r="AH39" s="17">
        <v>9</v>
      </c>
      <c r="AI39" s="17">
        <v>0</v>
      </c>
      <c r="AJ39" s="17">
        <v>0</v>
      </c>
      <c r="AK39" s="17">
        <v>0</v>
      </c>
      <c r="AL39" s="17">
        <v>5</v>
      </c>
      <c r="AM39" s="17">
        <v>1</v>
      </c>
      <c r="AN39" s="17">
        <v>0</v>
      </c>
      <c r="AO39" s="17">
        <v>0</v>
      </c>
      <c r="AP39" s="17">
        <v>1</v>
      </c>
      <c r="AQ39" s="17">
        <v>125</v>
      </c>
      <c r="AR39" s="17">
        <v>3</v>
      </c>
      <c r="AS39" s="17">
        <v>110</v>
      </c>
      <c r="AT39" s="17">
        <v>96056</v>
      </c>
      <c r="AU39" s="17">
        <v>97878</v>
      </c>
      <c r="AV39" s="17">
        <v>363110.2</v>
      </c>
      <c r="AW39" s="17">
        <v>368021.3</v>
      </c>
      <c r="AX39" s="17">
        <v>14652.5</v>
      </c>
      <c r="AY39" s="17">
        <v>13440.5</v>
      </c>
      <c r="AZ39" s="17">
        <v>151</v>
      </c>
      <c r="BA39" s="17">
        <v>137</v>
      </c>
      <c r="BB39" s="17">
        <v>100510</v>
      </c>
      <c r="BC39" s="17">
        <v>95543</v>
      </c>
      <c r="BD39" s="17">
        <v>1310</v>
      </c>
      <c r="BE39" s="17">
        <v>616</v>
      </c>
      <c r="BF39" s="17">
        <v>609</v>
      </c>
      <c r="BG39" s="17">
        <v>146401.1</v>
      </c>
      <c r="BH39" s="17">
        <v>58367</v>
      </c>
      <c r="BI39" s="17">
        <v>0</v>
      </c>
      <c r="BJ39" s="17">
        <v>0</v>
      </c>
      <c r="BK39" s="17">
        <v>1</v>
      </c>
      <c r="BL39" s="17">
        <v>0</v>
      </c>
      <c r="BM39" s="17">
        <v>0</v>
      </c>
      <c r="BN39" s="17">
        <v>0</v>
      </c>
      <c r="BO39" s="17">
        <v>0</v>
      </c>
      <c r="BP39" s="17">
        <v>0</v>
      </c>
      <c r="BQ39" s="17">
        <v>0</v>
      </c>
      <c r="BR39" s="17">
        <v>0</v>
      </c>
      <c r="BS39" s="17">
        <v>0</v>
      </c>
      <c r="BT39" s="17">
        <v>99</v>
      </c>
      <c r="BU39" s="17">
        <v>99398</v>
      </c>
      <c r="BV39" s="17">
        <v>100389</v>
      </c>
      <c r="BW39" s="17">
        <v>33437653</v>
      </c>
      <c r="BX39" s="17">
        <v>112638</v>
      </c>
      <c r="BY39" s="17">
        <v>2024</v>
      </c>
    </row>
  </sheetData>
  <autoFilter ref="A3:BY39"/>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7"/>
  <sheetViews>
    <sheetView workbookViewId="0"/>
  </sheetViews>
  <sheetFormatPr defaultRowHeight="15"/>
  <cols>
    <col min="1" max="1" width="18.7109375" customWidth="1"/>
    <col min="2" max="2" width="14.7109375" customWidth="1"/>
    <col min="3" max="3" width="60.7109375" customWidth="1"/>
  </cols>
  <sheetData>
    <row r="1" spans="1:3">
      <c r="A1" s="1" t="s">
        <v>0</v>
      </c>
      <c r="B1" s="1" t="s">
        <v>1</v>
      </c>
      <c r="C1" s="1" t="s">
        <v>2</v>
      </c>
    </row>
    <row r="2" spans="1:3">
      <c r="A2" s="2" t="s">
        <v>3</v>
      </c>
      <c r="B2" s="18">
        <v>0.25</v>
      </c>
      <c r="C2" s="3" t="s">
        <v>4</v>
      </c>
    </row>
    <row r="3" spans="1:3">
      <c r="A3" s="2" t="s">
        <v>5</v>
      </c>
      <c r="B3" s="18">
        <v>0.095</v>
      </c>
      <c r="C3" s="3" t="s">
        <v>6</v>
      </c>
    </row>
    <row r="4" spans="1:3">
      <c r="A4" s="2" t="s">
        <v>7</v>
      </c>
      <c r="B4" s="18">
        <v>2.5</v>
      </c>
      <c r="C4" s="3" t="s">
        <v>8</v>
      </c>
    </row>
    <row r="5" spans="1:3">
      <c r="A5" s="2" t="s">
        <v>9</v>
      </c>
      <c r="B5" s="18">
        <v>2109562.8</v>
      </c>
      <c r="C5" s="3" t="s">
        <v>10</v>
      </c>
    </row>
    <row r="6" spans="1:3">
      <c r="A6" s="2" t="s">
        <v>11</v>
      </c>
      <c r="B6" s="18">
        <v>759330.2</v>
      </c>
      <c r="C6" s="3" t="s">
        <v>12</v>
      </c>
    </row>
    <row r="7" spans="1:3">
      <c r="A7" s="2" t="s">
        <v>13</v>
      </c>
      <c r="B7" s="19">
        <f>B5+B6</f>
        <v>2868893.0</v>
      </c>
      <c r="C7" s="3" t="s">
        <v>14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9"/>
  <sheetViews>
    <sheetView workbookViewId="0"/>
  </sheetViews>
  <sheetFormatPr defaultRowHeight="15"/>
  <cols>
    <col min="1" max="1" width="120.7109375" customWidth="1"/>
  </cols>
  <sheetData>
    <row r="1" spans="1:1">
      <c r="A1" s="1" t="s">
        <v>1219</v>
      </c>
    </row>
    <row r="2" spans="1:1">
      <c r="A2" s="20" t="s">
        <v>1220</v>
      </c>
    </row>
    <row r="3" spans="1:1">
      <c r="A3" s="20" t="s">
        <v>1221</v>
      </c>
    </row>
    <row r="4" spans="1:1">
      <c r="A4" s="20" t="s">
        <v>1222</v>
      </c>
    </row>
    <row r="5" spans="1:1">
      <c r="A5" s="20" t="s">
        <v>1223</v>
      </c>
    </row>
    <row r="6" spans="1:1">
      <c r="A6" s="20" t="s">
        <v>1224</v>
      </c>
    </row>
    <row r="7" spans="1:1">
      <c r="A7" s="20" t="s">
        <v>1225</v>
      </c>
    </row>
    <row r="8" spans="1:1">
      <c r="A8" s="20" t="s">
        <v>1226</v>
      </c>
    </row>
    <row r="9" spans="1:1">
      <c r="A9" s="20" t="s">
        <v>1227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Calculated vs Shown</vt:lpstr>
      <vt:lpstr>Group KPIs</vt:lpstr>
      <vt:lpstr>Group Inputs</vt:lpstr>
      <vt:lpstr>Entity Inputs</vt:lpstr>
      <vt:lpstr>Plant Inputs</vt:lpstr>
      <vt:lpstr>Parameters</vt:lpstr>
      <vt:lpstr>About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2026-10-05T18:41:15Z</dcterms:created>
  <dcterms:modified xsi:type="dcterms:W3CDTF">2026-10-05T18:41:15Z</dcterms:modified>
</cp:coreProperties>
</file>