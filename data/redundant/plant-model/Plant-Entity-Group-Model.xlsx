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" sheetId="1" state="visible" r:id="rId1"/>
    <sheet xmlns:r="http://schemas.openxmlformats.org/officeDocument/2006/relationships" name="Entity" sheetId="2" state="visible" r:id="rId2"/>
    <sheet xmlns:r="http://schemas.openxmlformats.org/officeDocument/2006/relationships" name="Group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4406E"/>
      </patternFill>
    </fill>
    <fill>
      <patternFill patternType="solid">
        <fgColor rgb="003E6BB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7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</cols>
  <sheetData>
    <row r="1">
      <c r="A1" s="1" t="inlineStr">
        <is>
          <t>group</t>
        </is>
      </c>
      <c r="B1" s="1" t="inlineStr">
        <is>
          <t>entity</t>
        </is>
      </c>
      <c r="C1" s="1" t="inlineStr">
        <is>
          <t>plant</t>
        </is>
      </c>
      <c r="D1" s="1" t="inlineStr">
        <is>
          <t>period</t>
        </is>
      </c>
      <c r="E1" s="1" t="inlineStr">
        <is>
          <t>nameplate_tph</t>
        </is>
      </c>
      <c r="F1" s="1" t="inlineStr">
        <is>
          <t>calendar_hours</t>
        </is>
      </c>
      <c r="G1" s="1" t="inlineStr">
        <is>
          <t>planned_op_hours</t>
        </is>
      </c>
      <c r="H1" s="1" t="inlineStr">
        <is>
          <t>run_hours</t>
        </is>
      </c>
      <c r="I1" s="1" t="inlineStr">
        <is>
          <t>unplanned_downtime_hours</t>
        </is>
      </c>
      <c r="J1" s="1" t="inlineStr">
        <is>
          <t>ideal_output_t</t>
        </is>
      </c>
      <c r="K1" s="1" t="inlineStr">
        <is>
          <t>installed_capacity_t</t>
        </is>
      </c>
      <c r="L1" s="1" t="inlineStr">
        <is>
          <t>planned_production_t</t>
        </is>
      </c>
      <c r="M1" s="1" t="inlineStr">
        <is>
          <t>gross_output_t</t>
        </is>
      </c>
      <c r="N1" s="1" t="inlineStr">
        <is>
          <t>good_output_t</t>
        </is>
      </c>
      <c r="O1" s="1" t="inlineStr">
        <is>
          <t>feed_input_t</t>
        </is>
      </c>
      <c r="P1" s="1" t="inlineStr">
        <is>
          <t>feed_contained_t</t>
        </is>
      </c>
      <c r="Q1" s="1" t="inlineStr">
        <is>
          <t>recovered_contained_t</t>
        </is>
      </c>
      <c r="R1" s="1" t="inlineStr">
        <is>
          <t>prod_loss_downtime_t</t>
        </is>
      </c>
      <c r="S1" s="1" t="inlineStr">
        <is>
          <t>failures</t>
        </is>
      </c>
      <c r="T1" s="1" t="inlineStr">
        <is>
          <t>repair_hours</t>
        </is>
      </c>
      <c r="U1" s="1" t="inlineStr">
        <is>
          <t>pm_scheduled</t>
        </is>
      </c>
      <c r="V1" s="1" t="inlineStr">
        <is>
          <t>pm_completed</t>
        </is>
      </c>
      <c r="W1" s="1" t="inlineStr">
        <is>
          <t>variable_cost_k</t>
        </is>
      </c>
      <c r="X1" s="1" t="inlineStr">
        <is>
          <t>fuel_cost_k</t>
        </is>
      </c>
      <c r="Y1" s="1" t="inlineStr">
        <is>
          <t>fixed_cost_k</t>
        </is>
      </c>
      <c r="Z1" s="1" t="inlineStr">
        <is>
          <t>water_m3</t>
        </is>
      </c>
      <c r="AA1" s="1" t="inlineStr">
        <is>
          <t>emissions_tco2e</t>
        </is>
      </c>
      <c r="AB1" s="1" t="inlineStr">
        <is>
          <t>energy_gj</t>
        </is>
      </c>
      <c r="AC1" s="1" t="inlineStr">
        <is>
          <t>production_at_risk_t</t>
        </is>
      </c>
      <c r="AD1" s="1" t="inlineStr">
        <is>
          <t>critical_plant_alerts</t>
        </is>
      </c>
      <c r="AE1" s="1" t="inlineStr">
        <is>
          <t>hours_worked</t>
        </is>
      </c>
      <c r="AF1" s="1" t="inlineStr">
        <is>
          <t>recordable_injuries</t>
        </is>
      </c>
      <c r="AG1" s="1" t="inlineStr">
        <is>
          <t>severity_incidents</t>
        </is>
      </c>
      <c r="AH1" s="1" t="inlineStr">
        <is>
          <t>near_misses</t>
        </is>
      </c>
      <c r="AI1" s="1" t="inlineStr">
        <is>
          <t>critical_safety_incidents</t>
        </is>
      </c>
      <c r="AJ1" s="1" t="inlineStr">
        <is>
          <t>env_excursions</t>
        </is>
      </c>
      <c r="AK1" s="1" t="inlineStr">
        <is>
          <t>env_violations</t>
        </is>
      </c>
      <c r="AL1" s="1" t="inlineStr">
        <is>
          <t>ehs_ca_open</t>
        </is>
      </c>
      <c r="AM1" s="1" t="inlineStr">
        <is>
          <t>ehs_ca_overdue</t>
        </is>
      </c>
      <c r="AN1" s="1" t="inlineStr">
        <is>
          <t>investigations_due</t>
        </is>
      </c>
      <c r="AO1" s="1" t="inlineStr">
        <is>
          <t>investigations_completed</t>
        </is>
      </c>
      <c r="AP1" s="1" t="inlineStr">
        <is>
          <t>critical_material_risks</t>
        </is>
      </c>
      <c r="AQ1" s="1" t="inlineStr">
        <is>
          <t>dispatches_total</t>
        </is>
      </c>
      <c r="AR1" s="1" t="inlineStr">
        <is>
          <t>dispatches_delayed</t>
        </is>
      </c>
      <c r="AS1" s="1" t="inlineStr">
        <is>
          <t>permit_days_to_expiry</t>
        </is>
      </c>
      <c r="AT1" s="2" t="inlineStr">
        <is>
          <t>OPS-001</t>
        </is>
      </c>
      <c r="AU1" s="2" t="inlineStr">
        <is>
          <t>OPS-003</t>
        </is>
      </c>
      <c r="AV1" s="2" t="inlineStr">
        <is>
          <t>PLT-001</t>
        </is>
      </c>
      <c r="AW1" s="2" t="inlineStr">
        <is>
          <t>PLT-002</t>
        </is>
      </c>
      <c r="AX1" s="2" t="inlineStr">
        <is>
          <t>PLT-004</t>
        </is>
      </c>
      <c r="AY1" s="2" t="inlineStr">
        <is>
          <t>PLT-005</t>
        </is>
      </c>
      <c r="AZ1" s="2" t="inlineStr">
        <is>
          <t>REL-001</t>
        </is>
      </c>
      <c r="BA1" s="2" t="inlineStr">
        <is>
          <t>REL-002</t>
        </is>
      </c>
      <c r="BB1" s="2" t="inlineStr">
        <is>
          <t>REL-003</t>
        </is>
      </c>
      <c r="BC1" s="2" t="inlineStr">
        <is>
          <t>REL-004</t>
        </is>
      </c>
      <c r="BD1" s="2" t="inlineStr">
        <is>
          <t>REL-005</t>
        </is>
      </c>
      <c r="BE1" s="2" t="inlineStr">
        <is>
          <t>CST-001</t>
        </is>
      </c>
      <c r="BF1" s="2" t="inlineStr">
        <is>
          <t>CST-002</t>
        </is>
      </c>
      <c r="BG1" s="2" t="inlineStr">
        <is>
          <t>CST-003</t>
        </is>
      </c>
      <c r="BH1" s="2" t="inlineStr">
        <is>
          <t>SUS-001</t>
        </is>
      </c>
      <c r="BI1" s="2" t="inlineStr">
        <is>
          <t>SUS-002</t>
        </is>
      </c>
      <c r="BJ1" s="2" t="inlineStr">
        <is>
          <t>SUS-003</t>
        </is>
      </c>
      <c r="BK1" s="2" t="inlineStr">
        <is>
          <t>SIG-007</t>
        </is>
      </c>
      <c r="BL1" s="2" t="inlineStr">
        <is>
          <t>SIG-008</t>
        </is>
      </c>
      <c r="BM1" s="2" t="inlineStr">
        <is>
          <t>SIG-009</t>
        </is>
      </c>
      <c r="BN1" s="2" t="inlineStr">
        <is>
          <t>SIG-012</t>
        </is>
      </c>
      <c r="BO1" s="2" t="inlineStr">
        <is>
          <t>SIG-021</t>
        </is>
      </c>
      <c r="BP1" s="2" t="inlineStr">
        <is>
          <t>EHS-001</t>
        </is>
      </c>
      <c r="BQ1" s="2" t="inlineStr">
        <is>
          <t>EHS-002</t>
        </is>
      </c>
      <c r="BR1" s="2" t="inlineStr">
        <is>
          <t>EHS-003</t>
        </is>
      </c>
      <c r="BS1" s="2" t="inlineStr">
        <is>
          <t>EHS-004</t>
        </is>
      </c>
      <c r="BT1" s="2" t="inlineStr">
        <is>
          <t>EHS-005</t>
        </is>
      </c>
      <c r="BU1" s="2" t="inlineStr">
        <is>
          <t>EHS-006</t>
        </is>
      </c>
      <c r="BV1" s="2" t="inlineStr">
        <is>
          <t>EHS-007</t>
        </is>
      </c>
      <c r="BW1" s="2" t="inlineStr">
        <is>
          <t>EHS-009</t>
        </is>
      </c>
      <c r="BX1" s="2" t="inlineStr">
        <is>
          <t>REG-006</t>
        </is>
      </c>
    </row>
    <row r="2">
      <c r="A2" t="inlineStr">
        <is>
          <t>Group</t>
        </is>
      </c>
      <c r="B2" t="inlineStr">
        <is>
          <t>Entity A1</t>
        </is>
      </c>
      <c r="C2" t="inlineStr">
        <is>
          <t>Plant 01</t>
        </is>
      </c>
      <c r="D2" t="inlineStr">
        <is>
          <t>2026-04</t>
        </is>
      </c>
      <c r="E2" t="n">
        <v>137.1</v>
      </c>
      <c r="F2" t="n">
        <v>720</v>
      </c>
      <c r="G2" t="n">
        <v>714</v>
      </c>
      <c r="H2" t="n">
        <v>692.3</v>
      </c>
      <c r="I2" t="n">
        <v>13.3</v>
      </c>
      <c r="J2" t="n">
        <v>97889</v>
      </c>
      <c r="K2" t="n">
        <v>98712</v>
      </c>
      <c r="L2" t="n">
        <v>88515</v>
      </c>
      <c r="M2" t="n">
        <v>89648</v>
      </c>
      <c r="N2" t="n">
        <v>87087</v>
      </c>
      <c r="O2" t="n">
        <v>95600</v>
      </c>
      <c r="P2" t="n">
        <v>19579</v>
      </c>
      <c r="Q2" t="n">
        <v>17553</v>
      </c>
      <c r="R2" t="n">
        <v>1823</v>
      </c>
      <c r="S2" t="n">
        <v>2</v>
      </c>
      <c r="T2" t="n">
        <v>7.1</v>
      </c>
      <c r="U2" t="n">
        <v>37</v>
      </c>
      <c r="V2" t="n">
        <v>36</v>
      </c>
      <c r="W2" t="n">
        <v>251985.8</v>
      </c>
      <c r="X2" t="n">
        <v>62832</v>
      </c>
      <c r="Y2" t="n">
        <v>1091.7</v>
      </c>
      <c r="Z2" t="n">
        <v>167244</v>
      </c>
      <c r="AA2" t="n">
        <v>61316</v>
      </c>
      <c r="AB2" t="n">
        <v>311042</v>
      </c>
      <c r="AC2" t="n">
        <v>3223</v>
      </c>
      <c r="AD2" t="n">
        <v>1</v>
      </c>
      <c r="AE2" t="n">
        <v>79000</v>
      </c>
      <c r="AF2" t="n">
        <v>0</v>
      </c>
      <c r="AG2" t="n">
        <v>1</v>
      </c>
      <c r="AH2" t="n">
        <v>10</v>
      </c>
      <c r="AI2" t="n">
        <v>0</v>
      </c>
      <c r="AJ2" t="n">
        <v>0</v>
      </c>
      <c r="AK2" t="n">
        <v>0</v>
      </c>
      <c r="AL2" t="n">
        <v>14</v>
      </c>
      <c r="AM2" t="n">
        <v>4</v>
      </c>
      <c r="AN2" t="n">
        <v>0</v>
      </c>
      <c r="AO2" t="n">
        <v>0</v>
      </c>
      <c r="AP2" t="n">
        <v>0</v>
      </c>
      <c r="AQ2" t="n">
        <v>158</v>
      </c>
      <c r="AR2" t="n">
        <v>9</v>
      </c>
      <c r="AS2" t="n">
        <v>311</v>
      </c>
      <c r="AT2" s="3">
        <f>IFERROR(100*N2/L2,0)</f>
        <v/>
      </c>
      <c r="AU2" s="3">
        <f>IFERROR(100*N2/K2,0)</f>
        <v/>
      </c>
      <c r="AV2" s="3">
        <f>IFERROR(100*H2/F2,0)</f>
        <v/>
      </c>
      <c r="AW2" s="3">
        <f>IFERROR(100*N2/J2,0)</f>
        <v/>
      </c>
      <c r="AX2" s="3">
        <f>IFERROR(100*Q2/P2,0)</f>
        <v/>
      </c>
      <c r="AY2" s="3">
        <f>IFERROR(100*N2/O2,0)</f>
        <v/>
      </c>
      <c r="AZ2" s="3">
        <f>IFERROR(H2/S2,0)</f>
        <v/>
      </c>
      <c r="BA2" s="3">
        <f>IFERROR(T2/S2,0)</f>
        <v/>
      </c>
      <c r="BB2" s="3">
        <f>I2</f>
        <v/>
      </c>
      <c r="BC2" s="3">
        <f>R2</f>
        <v/>
      </c>
      <c r="BD2" s="3">
        <f>IFERROR(100*V2/U2,0)</f>
        <v/>
      </c>
      <c r="BE2" s="3">
        <f>IFERROR(1000*(W2+Y2)/N2,0)</f>
        <v/>
      </c>
      <c r="BF2" s="3">
        <f>W2</f>
        <v/>
      </c>
      <c r="BG2" s="3">
        <f>X2</f>
        <v/>
      </c>
      <c r="BH2" s="3">
        <f>Z2</f>
        <v/>
      </c>
      <c r="BI2" s="3">
        <f>AA2</f>
        <v/>
      </c>
      <c r="BJ2" s="3">
        <f>IFERROR(AB2/N2,0)</f>
        <v/>
      </c>
      <c r="BK2" s="3">
        <f>AC2</f>
        <v/>
      </c>
      <c r="BL2" s="3">
        <f>AD2</f>
        <v/>
      </c>
      <c r="BM2" s="3">
        <f>AP2</f>
        <v/>
      </c>
      <c r="BN2" s="3">
        <f>IFERROR(100*AR2/AQ2,0)</f>
        <v/>
      </c>
      <c r="BO2" s="3">
        <f>AK2</f>
        <v/>
      </c>
      <c r="BP2" s="3">
        <f>IFERROR(200000*AF2/AE2,0)</f>
        <v/>
      </c>
      <c r="BQ2" s="3">
        <f>AG2</f>
        <v/>
      </c>
      <c r="BR2" s="3">
        <f>AH2</f>
        <v/>
      </c>
      <c r="BS2" s="3">
        <f>AI2</f>
        <v/>
      </c>
      <c r="BT2" s="3">
        <f>AJ2</f>
        <v/>
      </c>
      <c r="BU2" s="3">
        <f>AL2</f>
        <v/>
      </c>
      <c r="BV2" s="3">
        <f>AM2</f>
        <v/>
      </c>
      <c r="BW2" s="3">
        <f>IF(AN2=0,100,100*AO2/AN2)</f>
        <v/>
      </c>
      <c r="BX2" s="3">
        <f>AS2</f>
        <v/>
      </c>
    </row>
    <row r="3">
      <c r="A3" t="inlineStr">
        <is>
          <t>Group</t>
        </is>
      </c>
      <c r="B3" t="inlineStr">
        <is>
          <t>Entity A1</t>
        </is>
      </c>
      <c r="C3" t="inlineStr">
        <is>
          <t>Plant 01</t>
        </is>
      </c>
      <c r="D3" t="inlineStr">
        <is>
          <t>2026-05</t>
        </is>
      </c>
      <c r="E3" t="n">
        <v>137.1</v>
      </c>
      <c r="F3" t="n">
        <v>744</v>
      </c>
      <c r="G3" t="n">
        <v>744</v>
      </c>
      <c r="H3" t="n">
        <v>702.5</v>
      </c>
      <c r="I3" t="n">
        <v>19.6</v>
      </c>
      <c r="J3" t="n">
        <v>102002</v>
      </c>
      <c r="K3" t="n">
        <v>102002</v>
      </c>
      <c r="L3" t="n">
        <v>88139</v>
      </c>
      <c r="M3" t="n">
        <v>84940</v>
      </c>
      <c r="N3" t="n">
        <v>80872</v>
      </c>
      <c r="O3" t="n">
        <v>86252</v>
      </c>
      <c r="P3" t="n">
        <v>17739</v>
      </c>
      <c r="Q3" t="n">
        <v>15002</v>
      </c>
      <c r="R3" t="n">
        <v>2687</v>
      </c>
      <c r="S3" t="n">
        <v>3</v>
      </c>
      <c r="T3" t="n">
        <v>15.5</v>
      </c>
      <c r="U3" t="n">
        <v>48</v>
      </c>
      <c r="V3" t="n">
        <v>47</v>
      </c>
      <c r="W3" t="n">
        <v>272778.7</v>
      </c>
      <c r="X3" t="n">
        <v>79959.60000000001</v>
      </c>
      <c r="Y3" t="n">
        <v>1465.4</v>
      </c>
      <c r="Z3" t="n">
        <v>205726</v>
      </c>
      <c r="AA3" t="n">
        <v>53724</v>
      </c>
      <c r="AB3" t="n">
        <v>252523</v>
      </c>
      <c r="AC3" t="n">
        <v>5217</v>
      </c>
      <c r="AD3" t="n">
        <v>1</v>
      </c>
      <c r="AE3" t="n">
        <v>66000</v>
      </c>
      <c r="AF3" t="n">
        <v>0</v>
      </c>
      <c r="AG3" t="n">
        <v>0</v>
      </c>
      <c r="AH3" t="n">
        <v>4</v>
      </c>
      <c r="AI3" t="n">
        <v>0</v>
      </c>
      <c r="AJ3" t="n">
        <v>0</v>
      </c>
      <c r="AK3" t="n">
        <v>0</v>
      </c>
      <c r="AL3" t="n">
        <v>11</v>
      </c>
      <c r="AM3" t="n">
        <v>2</v>
      </c>
      <c r="AN3" t="n">
        <v>3</v>
      </c>
      <c r="AO3" t="n">
        <v>3</v>
      </c>
      <c r="AP3" t="n">
        <v>0</v>
      </c>
      <c r="AQ3" t="n">
        <v>256</v>
      </c>
      <c r="AR3" t="n">
        <v>10</v>
      </c>
      <c r="AS3" t="n">
        <v>281</v>
      </c>
      <c r="AT3" s="3">
        <f>IFERROR(100*N3/L3,0)</f>
        <v/>
      </c>
      <c r="AU3" s="3">
        <f>IFERROR(100*N3/K3,0)</f>
        <v/>
      </c>
      <c r="AV3" s="3">
        <f>IFERROR(100*H3/F3,0)</f>
        <v/>
      </c>
      <c r="AW3" s="3">
        <f>IFERROR(100*N3/J3,0)</f>
        <v/>
      </c>
      <c r="AX3" s="3">
        <f>IFERROR(100*Q3/P3,0)</f>
        <v/>
      </c>
      <c r="AY3" s="3">
        <f>IFERROR(100*N3/O3,0)</f>
        <v/>
      </c>
      <c r="AZ3" s="3">
        <f>IFERROR(H3/S3,0)</f>
        <v/>
      </c>
      <c r="BA3" s="3">
        <f>IFERROR(T3/S3,0)</f>
        <v/>
      </c>
      <c r="BB3" s="3">
        <f>I3</f>
        <v/>
      </c>
      <c r="BC3" s="3">
        <f>R3</f>
        <v/>
      </c>
      <c r="BD3" s="3">
        <f>IFERROR(100*V3/U3,0)</f>
        <v/>
      </c>
      <c r="BE3" s="3">
        <f>IFERROR(1000*(W3+Y3)/N3,0)</f>
        <v/>
      </c>
      <c r="BF3" s="3">
        <f>W3</f>
        <v/>
      </c>
      <c r="BG3" s="3">
        <f>X3</f>
        <v/>
      </c>
      <c r="BH3" s="3">
        <f>Z3</f>
        <v/>
      </c>
      <c r="BI3" s="3">
        <f>AA3</f>
        <v/>
      </c>
      <c r="BJ3" s="3">
        <f>IFERROR(AB3/N3,0)</f>
        <v/>
      </c>
      <c r="BK3" s="3">
        <f>AC3</f>
        <v/>
      </c>
      <c r="BL3" s="3">
        <f>AD3</f>
        <v/>
      </c>
      <c r="BM3" s="3">
        <f>AP3</f>
        <v/>
      </c>
      <c r="BN3" s="3">
        <f>IFERROR(100*AR3/AQ3,0)</f>
        <v/>
      </c>
      <c r="BO3" s="3">
        <f>AK3</f>
        <v/>
      </c>
      <c r="BP3" s="3">
        <f>IFERROR(200000*AF3/AE3,0)</f>
        <v/>
      </c>
      <c r="BQ3" s="3">
        <f>AG3</f>
        <v/>
      </c>
      <c r="BR3" s="3">
        <f>AH3</f>
        <v/>
      </c>
      <c r="BS3" s="3">
        <f>AI3</f>
        <v/>
      </c>
      <c r="BT3" s="3">
        <f>AJ3</f>
        <v/>
      </c>
      <c r="BU3" s="3">
        <f>AL3</f>
        <v/>
      </c>
      <c r="BV3" s="3">
        <f>AM3</f>
        <v/>
      </c>
      <c r="BW3" s="3">
        <f>IF(AN3=0,100,100*AO3/AN3)</f>
        <v/>
      </c>
      <c r="BX3" s="3">
        <f>AS3</f>
        <v/>
      </c>
    </row>
    <row r="4">
      <c r="A4" t="inlineStr">
        <is>
          <t>Group</t>
        </is>
      </c>
      <c r="B4" t="inlineStr">
        <is>
          <t>Entity A1</t>
        </is>
      </c>
      <c r="C4" t="inlineStr">
        <is>
          <t>Plant 01</t>
        </is>
      </c>
      <c r="D4" t="inlineStr">
        <is>
          <t>2026-06</t>
        </is>
      </c>
      <c r="E4" t="n">
        <v>137.1</v>
      </c>
      <c r="F4" t="n">
        <v>720</v>
      </c>
      <c r="G4" t="n">
        <v>720</v>
      </c>
      <c r="H4" t="n">
        <v>681.5</v>
      </c>
      <c r="I4" t="n">
        <v>18.6</v>
      </c>
      <c r="J4" t="n">
        <v>98712</v>
      </c>
      <c r="K4" t="n">
        <v>98712</v>
      </c>
      <c r="L4" t="n">
        <v>88801</v>
      </c>
      <c r="M4" t="n">
        <v>84328</v>
      </c>
      <c r="N4" t="n">
        <v>81129</v>
      </c>
      <c r="O4" t="n">
        <v>86263</v>
      </c>
      <c r="P4" t="n">
        <v>18895</v>
      </c>
      <c r="Q4" t="n">
        <v>16380</v>
      </c>
      <c r="R4" t="n">
        <v>2550</v>
      </c>
      <c r="S4" t="n">
        <v>2</v>
      </c>
      <c r="T4" t="n">
        <v>14.7</v>
      </c>
      <c r="U4" t="n">
        <v>48</v>
      </c>
      <c r="V4" t="n">
        <v>45</v>
      </c>
      <c r="W4" t="n">
        <v>269800.1</v>
      </c>
      <c r="X4" t="n">
        <v>63241.6</v>
      </c>
      <c r="Y4" t="n">
        <v>1103.4</v>
      </c>
      <c r="Z4" t="n">
        <v>166424</v>
      </c>
      <c r="AA4" t="n">
        <v>60010</v>
      </c>
      <c r="AB4" t="n">
        <v>243788</v>
      </c>
      <c r="AC4" t="n">
        <v>7297</v>
      </c>
      <c r="AD4" t="n">
        <v>2</v>
      </c>
      <c r="AE4" t="n">
        <v>91000</v>
      </c>
      <c r="AF4" t="n">
        <v>1</v>
      </c>
      <c r="AG4" t="n">
        <v>0</v>
      </c>
      <c r="AH4" t="n">
        <v>10</v>
      </c>
      <c r="AI4" t="n">
        <v>0</v>
      </c>
      <c r="AJ4" t="n">
        <v>1</v>
      </c>
      <c r="AK4" t="n">
        <v>0</v>
      </c>
      <c r="AL4" t="n">
        <v>5</v>
      </c>
      <c r="AM4" t="n">
        <v>1</v>
      </c>
      <c r="AN4" t="n">
        <v>0</v>
      </c>
      <c r="AO4" t="n">
        <v>0</v>
      </c>
      <c r="AP4" t="n">
        <v>0</v>
      </c>
      <c r="AQ4" t="n">
        <v>148</v>
      </c>
      <c r="AR4" t="n">
        <v>11</v>
      </c>
      <c r="AS4" t="n">
        <v>251</v>
      </c>
      <c r="AT4" s="3">
        <f>IFERROR(100*N4/L4,0)</f>
        <v/>
      </c>
      <c r="AU4" s="3">
        <f>IFERROR(100*N4/K4,0)</f>
        <v/>
      </c>
      <c r="AV4" s="3">
        <f>IFERROR(100*H4/F4,0)</f>
        <v/>
      </c>
      <c r="AW4" s="3">
        <f>IFERROR(100*N4/J4,0)</f>
        <v/>
      </c>
      <c r="AX4" s="3">
        <f>IFERROR(100*Q4/P4,0)</f>
        <v/>
      </c>
      <c r="AY4" s="3">
        <f>IFERROR(100*N4/O4,0)</f>
        <v/>
      </c>
      <c r="AZ4" s="3">
        <f>IFERROR(H4/S4,0)</f>
        <v/>
      </c>
      <c r="BA4" s="3">
        <f>IFERROR(T4/S4,0)</f>
        <v/>
      </c>
      <c r="BB4" s="3">
        <f>I4</f>
        <v/>
      </c>
      <c r="BC4" s="3">
        <f>R4</f>
        <v/>
      </c>
      <c r="BD4" s="3">
        <f>IFERROR(100*V4/U4,0)</f>
        <v/>
      </c>
      <c r="BE4" s="3">
        <f>IFERROR(1000*(W4+Y4)/N4,0)</f>
        <v/>
      </c>
      <c r="BF4" s="3">
        <f>W4</f>
        <v/>
      </c>
      <c r="BG4" s="3">
        <f>X4</f>
        <v/>
      </c>
      <c r="BH4" s="3">
        <f>Z4</f>
        <v/>
      </c>
      <c r="BI4" s="3">
        <f>AA4</f>
        <v/>
      </c>
      <c r="BJ4" s="3">
        <f>IFERROR(AB4/N4,0)</f>
        <v/>
      </c>
      <c r="BK4" s="3">
        <f>AC4</f>
        <v/>
      </c>
      <c r="BL4" s="3">
        <f>AD4</f>
        <v/>
      </c>
      <c r="BM4" s="3">
        <f>AP4</f>
        <v/>
      </c>
      <c r="BN4" s="3">
        <f>IFERROR(100*AR4/AQ4,0)</f>
        <v/>
      </c>
      <c r="BO4" s="3">
        <f>AK4</f>
        <v/>
      </c>
      <c r="BP4" s="3">
        <f>IFERROR(200000*AF4/AE4,0)</f>
        <v/>
      </c>
      <c r="BQ4" s="3">
        <f>AG4</f>
        <v/>
      </c>
      <c r="BR4" s="3">
        <f>AH4</f>
        <v/>
      </c>
      <c r="BS4" s="3">
        <f>AI4</f>
        <v/>
      </c>
      <c r="BT4" s="3">
        <f>AJ4</f>
        <v/>
      </c>
      <c r="BU4" s="3">
        <f>AL4</f>
        <v/>
      </c>
      <c r="BV4" s="3">
        <f>AM4</f>
        <v/>
      </c>
      <c r="BW4" s="3">
        <f>IF(AN4=0,100,100*AO4/AN4)</f>
        <v/>
      </c>
      <c r="BX4" s="3">
        <f>AS4</f>
        <v/>
      </c>
    </row>
    <row r="5">
      <c r="A5" t="inlineStr">
        <is>
          <t>Group</t>
        </is>
      </c>
      <c r="B5" t="inlineStr">
        <is>
          <t>Entity A1</t>
        </is>
      </c>
      <c r="C5" t="inlineStr">
        <is>
          <t>Plant 01</t>
        </is>
      </c>
      <c r="D5" t="inlineStr">
        <is>
          <t>2026-07</t>
        </is>
      </c>
      <c r="E5" t="n">
        <v>137.1</v>
      </c>
      <c r="F5" t="n">
        <v>744</v>
      </c>
      <c r="G5" t="n">
        <v>741</v>
      </c>
      <c r="H5" t="n">
        <v>701.6</v>
      </c>
      <c r="I5" t="n">
        <v>27.2</v>
      </c>
      <c r="J5" t="n">
        <v>101591</v>
      </c>
      <c r="K5" t="n">
        <v>102002</v>
      </c>
      <c r="L5" t="n">
        <v>88152</v>
      </c>
      <c r="M5" t="n">
        <v>86711</v>
      </c>
      <c r="N5" t="n">
        <v>83254</v>
      </c>
      <c r="O5" t="n">
        <v>94209</v>
      </c>
      <c r="P5" t="n">
        <v>21264</v>
      </c>
      <c r="Q5" t="n">
        <v>19441</v>
      </c>
      <c r="R5" t="n">
        <v>3729</v>
      </c>
      <c r="S5" t="n">
        <v>4</v>
      </c>
      <c r="T5" t="n">
        <v>21.3</v>
      </c>
      <c r="U5" t="n">
        <v>55</v>
      </c>
      <c r="V5" t="n">
        <v>52</v>
      </c>
      <c r="W5" t="n">
        <v>221284.2</v>
      </c>
      <c r="X5" t="n">
        <v>64810.6</v>
      </c>
      <c r="Y5" t="n">
        <v>1144.9</v>
      </c>
      <c r="Z5" t="n">
        <v>180484</v>
      </c>
      <c r="AA5" t="n">
        <v>54600</v>
      </c>
      <c r="AB5" t="n">
        <v>243753</v>
      </c>
      <c r="AC5" t="n">
        <v>5312</v>
      </c>
      <c r="AD5" t="n">
        <v>0</v>
      </c>
      <c r="AE5" t="n">
        <v>76000</v>
      </c>
      <c r="AF5" t="n">
        <v>1</v>
      </c>
      <c r="AG5" t="n">
        <v>0</v>
      </c>
      <c r="AH5" t="n">
        <v>9</v>
      </c>
      <c r="AI5" t="n">
        <v>0</v>
      </c>
      <c r="AJ5" t="n">
        <v>1</v>
      </c>
      <c r="AK5" t="n">
        <v>0</v>
      </c>
      <c r="AL5" t="n">
        <v>4</v>
      </c>
      <c r="AM5" t="n">
        <v>1</v>
      </c>
      <c r="AN5" t="n">
        <v>3</v>
      </c>
      <c r="AO5" t="n">
        <v>3</v>
      </c>
      <c r="AP5" t="n">
        <v>1</v>
      </c>
      <c r="AQ5" t="n">
        <v>198</v>
      </c>
      <c r="AR5" t="n">
        <v>9</v>
      </c>
      <c r="AS5" t="n">
        <v>221</v>
      </c>
      <c r="AT5" s="3">
        <f>IFERROR(100*N5/L5,0)</f>
        <v/>
      </c>
      <c r="AU5" s="3">
        <f>IFERROR(100*N5/K5,0)</f>
        <v/>
      </c>
      <c r="AV5" s="3">
        <f>IFERROR(100*H5/F5,0)</f>
        <v/>
      </c>
      <c r="AW5" s="3">
        <f>IFERROR(100*N5/J5,0)</f>
        <v/>
      </c>
      <c r="AX5" s="3">
        <f>IFERROR(100*Q5/P5,0)</f>
        <v/>
      </c>
      <c r="AY5" s="3">
        <f>IFERROR(100*N5/O5,0)</f>
        <v/>
      </c>
      <c r="AZ5" s="3">
        <f>IFERROR(H5/S5,0)</f>
        <v/>
      </c>
      <c r="BA5" s="3">
        <f>IFERROR(T5/S5,0)</f>
        <v/>
      </c>
      <c r="BB5" s="3">
        <f>I5</f>
        <v/>
      </c>
      <c r="BC5" s="3">
        <f>R5</f>
        <v/>
      </c>
      <c r="BD5" s="3">
        <f>IFERROR(100*V5/U5,0)</f>
        <v/>
      </c>
      <c r="BE5" s="3">
        <f>IFERROR(1000*(W5+Y5)/N5,0)</f>
        <v/>
      </c>
      <c r="BF5" s="3">
        <f>W5</f>
        <v/>
      </c>
      <c r="BG5" s="3">
        <f>X5</f>
        <v/>
      </c>
      <c r="BH5" s="3">
        <f>Z5</f>
        <v/>
      </c>
      <c r="BI5" s="3">
        <f>AA5</f>
        <v/>
      </c>
      <c r="BJ5" s="3">
        <f>IFERROR(AB5/N5,0)</f>
        <v/>
      </c>
      <c r="BK5" s="3">
        <f>AC5</f>
        <v/>
      </c>
      <c r="BL5" s="3">
        <f>AD5</f>
        <v/>
      </c>
      <c r="BM5" s="3">
        <f>AP5</f>
        <v/>
      </c>
      <c r="BN5" s="3">
        <f>IFERROR(100*AR5/AQ5,0)</f>
        <v/>
      </c>
      <c r="BO5" s="3">
        <f>AK5</f>
        <v/>
      </c>
      <c r="BP5" s="3">
        <f>IFERROR(200000*AF5/AE5,0)</f>
        <v/>
      </c>
      <c r="BQ5" s="3">
        <f>AG5</f>
        <v/>
      </c>
      <c r="BR5" s="3">
        <f>AH5</f>
        <v/>
      </c>
      <c r="BS5" s="3">
        <f>AI5</f>
        <v/>
      </c>
      <c r="BT5" s="3">
        <f>AJ5</f>
        <v/>
      </c>
      <c r="BU5" s="3">
        <f>AL5</f>
        <v/>
      </c>
      <c r="BV5" s="3">
        <f>AM5</f>
        <v/>
      </c>
      <c r="BW5" s="3">
        <f>IF(AN5=0,100,100*AO5/AN5)</f>
        <v/>
      </c>
      <c r="BX5" s="3">
        <f>AS5</f>
        <v/>
      </c>
    </row>
    <row r="6">
      <c r="A6" t="inlineStr">
        <is>
          <t>Group</t>
        </is>
      </c>
      <c r="B6" t="inlineStr">
        <is>
          <t>Entity A1</t>
        </is>
      </c>
      <c r="C6" t="inlineStr">
        <is>
          <t>Plant 01</t>
        </is>
      </c>
      <c r="D6" t="inlineStr">
        <is>
          <t>2026-08</t>
        </is>
      </c>
      <c r="E6" t="n">
        <v>137.1</v>
      </c>
      <c r="F6" t="n">
        <v>744</v>
      </c>
      <c r="G6" t="n">
        <v>744</v>
      </c>
      <c r="H6" t="n">
        <v>710.7</v>
      </c>
      <c r="I6" t="n">
        <v>19.1</v>
      </c>
      <c r="J6" t="n">
        <v>102002</v>
      </c>
      <c r="K6" t="n">
        <v>102002</v>
      </c>
      <c r="L6" t="n">
        <v>91424</v>
      </c>
      <c r="M6" t="n">
        <v>90032</v>
      </c>
      <c r="N6" t="n">
        <v>87527</v>
      </c>
      <c r="O6" t="n">
        <v>94670</v>
      </c>
      <c r="P6" t="n">
        <v>19426</v>
      </c>
      <c r="Q6" t="n">
        <v>17234</v>
      </c>
      <c r="R6" t="n">
        <v>2619</v>
      </c>
      <c r="S6" t="n">
        <v>2</v>
      </c>
      <c r="T6" t="n">
        <v>14</v>
      </c>
      <c r="U6" t="n">
        <v>32</v>
      </c>
      <c r="V6" t="n">
        <v>31</v>
      </c>
      <c r="W6" t="n">
        <v>268254.7</v>
      </c>
      <c r="X6" t="n">
        <v>78893.89999999999</v>
      </c>
      <c r="Y6" t="n">
        <v>1065.3</v>
      </c>
      <c r="Z6" t="n">
        <v>192091</v>
      </c>
      <c r="AA6" t="n">
        <v>54889</v>
      </c>
      <c r="AB6" t="n">
        <v>306311</v>
      </c>
      <c r="AC6" t="n">
        <v>1480</v>
      </c>
      <c r="AD6" t="n">
        <v>2</v>
      </c>
      <c r="AE6" t="n">
        <v>56000</v>
      </c>
      <c r="AF6" t="n">
        <v>1</v>
      </c>
      <c r="AG6" t="n">
        <v>0</v>
      </c>
      <c r="AH6" t="n">
        <v>6</v>
      </c>
      <c r="AI6" t="n">
        <v>0</v>
      </c>
      <c r="AJ6" t="n">
        <v>0</v>
      </c>
      <c r="AK6" t="n">
        <v>0</v>
      </c>
      <c r="AL6" t="n">
        <v>5</v>
      </c>
      <c r="AM6" t="n">
        <v>0</v>
      </c>
      <c r="AN6" t="n">
        <v>1</v>
      </c>
      <c r="AO6" t="n">
        <v>1</v>
      </c>
      <c r="AP6" t="n">
        <v>2</v>
      </c>
      <c r="AQ6" t="n">
        <v>121</v>
      </c>
      <c r="AR6" t="n">
        <v>10</v>
      </c>
      <c r="AS6" t="n">
        <v>191</v>
      </c>
      <c r="AT6" s="3">
        <f>IFERROR(100*N6/L6,0)</f>
        <v/>
      </c>
      <c r="AU6" s="3">
        <f>IFERROR(100*N6/K6,0)</f>
        <v/>
      </c>
      <c r="AV6" s="3">
        <f>IFERROR(100*H6/F6,0)</f>
        <v/>
      </c>
      <c r="AW6" s="3">
        <f>IFERROR(100*N6/J6,0)</f>
        <v/>
      </c>
      <c r="AX6" s="3">
        <f>IFERROR(100*Q6/P6,0)</f>
        <v/>
      </c>
      <c r="AY6" s="3">
        <f>IFERROR(100*N6/O6,0)</f>
        <v/>
      </c>
      <c r="AZ6" s="3">
        <f>IFERROR(H6/S6,0)</f>
        <v/>
      </c>
      <c r="BA6" s="3">
        <f>IFERROR(T6/S6,0)</f>
        <v/>
      </c>
      <c r="BB6" s="3">
        <f>I6</f>
        <v/>
      </c>
      <c r="BC6" s="3">
        <f>R6</f>
        <v/>
      </c>
      <c r="BD6" s="3">
        <f>IFERROR(100*V6/U6,0)</f>
        <v/>
      </c>
      <c r="BE6" s="3">
        <f>IFERROR(1000*(W6+Y6)/N6,0)</f>
        <v/>
      </c>
      <c r="BF6" s="3">
        <f>W6</f>
        <v/>
      </c>
      <c r="BG6" s="3">
        <f>X6</f>
        <v/>
      </c>
      <c r="BH6" s="3">
        <f>Z6</f>
        <v/>
      </c>
      <c r="BI6" s="3">
        <f>AA6</f>
        <v/>
      </c>
      <c r="BJ6" s="3">
        <f>IFERROR(AB6/N6,0)</f>
        <v/>
      </c>
      <c r="BK6" s="3">
        <f>AC6</f>
        <v/>
      </c>
      <c r="BL6" s="3">
        <f>AD6</f>
        <v/>
      </c>
      <c r="BM6" s="3">
        <f>AP6</f>
        <v/>
      </c>
      <c r="BN6" s="3">
        <f>IFERROR(100*AR6/AQ6,0)</f>
        <v/>
      </c>
      <c r="BO6" s="3">
        <f>AK6</f>
        <v/>
      </c>
      <c r="BP6" s="3">
        <f>IFERROR(200000*AF6/AE6,0)</f>
        <v/>
      </c>
      <c r="BQ6" s="3">
        <f>AG6</f>
        <v/>
      </c>
      <c r="BR6" s="3">
        <f>AH6</f>
        <v/>
      </c>
      <c r="BS6" s="3">
        <f>AI6</f>
        <v/>
      </c>
      <c r="BT6" s="3">
        <f>AJ6</f>
        <v/>
      </c>
      <c r="BU6" s="3">
        <f>AL6</f>
        <v/>
      </c>
      <c r="BV6" s="3">
        <f>AM6</f>
        <v/>
      </c>
      <c r="BW6" s="3">
        <f>IF(AN6=0,100,100*AO6/AN6)</f>
        <v/>
      </c>
      <c r="BX6" s="3">
        <f>AS6</f>
        <v/>
      </c>
    </row>
    <row r="7">
      <c r="A7" t="inlineStr">
        <is>
          <t>Group</t>
        </is>
      </c>
      <c r="B7" t="inlineStr">
        <is>
          <t>Entity A1</t>
        </is>
      </c>
      <c r="C7" t="inlineStr">
        <is>
          <t>Plant 01</t>
        </is>
      </c>
      <c r="D7" t="inlineStr">
        <is>
          <t>2026-09</t>
        </is>
      </c>
      <c r="E7" t="n">
        <v>137.1</v>
      </c>
      <c r="F7" t="n">
        <v>720</v>
      </c>
      <c r="G7" t="n">
        <v>711</v>
      </c>
      <c r="H7" t="n">
        <v>664.5</v>
      </c>
      <c r="I7" t="n">
        <v>30.2</v>
      </c>
      <c r="J7" t="n">
        <v>97478</v>
      </c>
      <c r="K7" t="n">
        <v>98712</v>
      </c>
      <c r="L7" t="n">
        <v>85234</v>
      </c>
      <c r="M7" t="n">
        <v>84182</v>
      </c>
      <c r="N7" t="n">
        <v>81854</v>
      </c>
      <c r="O7" t="n">
        <v>89479</v>
      </c>
      <c r="P7" t="n">
        <v>19996</v>
      </c>
      <c r="Q7" t="n">
        <v>18334</v>
      </c>
      <c r="R7" t="n">
        <v>4140</v>
      </c>
      <c r="S7" t="n">
        <v>4</v>
      </c>
      <c r="T7" t="n">
        <v>21.6</v>
      </c>
      <c r="U7" t="n">
        <v>46</v>
      </c>
      <c r="V7" t="n">
        <v>43</v>
      </c>
      <c r="W7" t="n">
        <v>226098.2</v>
      </c>
      <c r="X7" t="n">
        <v>50616</v>
      </c>
      <c r="Y7" t="n">
        <v>1375.5</v>
      </c>
      <c r="Z7" t="n">
        <v>148807</v>
      </c>
      <c r="AA7" t="n">
        <v>59115</v>
      </c>
      <c r="AB7" t="n">
        <v>289576</v>
      </c>
      <c r="AC7" t="n">
        <v>3669</v>
      </c>
      <c r="AD7" t="n">
        <v>0</v>
      </c>
      <c r="AE7" t="n">
        <v>55000</v>
      </c>
      <c r="AF7" t="n">
        <v>0</v>
      </c>
      <c r="AG7" t="n">
        <v>1</v>
      </c>
      <c r="AH7" t="n">
        <v>9</v>
      </c>
      <c r="AI7" t="n">
        <v>0</v>
      </c>
      <c r="AJ7" t="n">
        <v>0</v>
      </c>
      <c r="AK7" t="n">
        <v>0</v>
      </c>
      <c r="AL7" t="n">
        <v>14</v>
      </c>
      <c r="AM7" t="n">
        <v>4</v>
      </c>
      <c r="AN7" t="n">
        <v>2</v>
      </c>
      <c r="AO7" t="n">
        <v>2</v>
      </c>
      <c r="AP7" t="n">
        <v>2</v>
      </c>
      <c r="AQ7" t="n">
        <v>120</v>
      </c>
      <c r="AR7" t="n">
        <v>9</v>
      </c>
      <c r="AS7" t="n">
        <v>161</v>
      </c>
      <c r="AT7" s="3">
        <f>IFERROR(100*N7/L7,0)</f>
        <v/>
      </c>
      <c r="AU7" s="3">
        <f>IFERROR(100*N7/K7,0)</f>
        <v/>
      </c>
      <c r="AV7" s="3">
        <f>IFERROR(100*H7/F7,0)</f>
        <v/>
      </c>
      <c r="AW7" s="3">
        <f>IFERROR(100*N7/J7,0)</f>
        <v/>
      </c>
      <c r="AX7" s="3">
        <f>IFERROR(100*Q7/P7,0)</f>
        <v/>
      </c>
      <c r="AY7" s="3">
        <f>IFERROR(100*N7/O7,0)</f>
        <v/>
      </c>
      <c r="AZ7" s="3">
        <f>IFERROR(H7/S7,0)</f>
        <v/>
      </c>
      <c r="BA7" s="3">
        <f>IFERROR(T7/S7,0)</f>
        <v/>
      </c>
      <c r="BB7" s="3">
        <f>I7</f>
        <v/>
      </c>
      <c r="BC7" s="3">
        <f>R7</f>
        <v/>
      </c>
      <c r="BD7" s="3">
        <f>IFERROR(100*V7/U7,0)</f>
        <v/>
      </c>
      <c r="BE7" s="3">
        <f>IFERROR(1000*(W7+Y7)/N7,0)</f>
        <v/>
      </c>
      <c r="BF7" s="3">
        <f>W7</f>
        <v/>
      </c>
      <c r="BG7" s="3">
        <f>X7</f>
        <v/>
      </c>
      <c r="BH7" s="3">
        <f>Z7</f>
        <v/>
      </c>
      <c r="BI7" s="3">
        <f>AA7</f>
        <v/>
      </c>
      <c r="BJ7" s="3">
        <f>IFERROR(AB7/N7,0)</f>
        <v/>
      </c>
      <c r="BK7" s="3">
        <f>AC7</f>
        <v/>
      </c>
      <c r="BL7" s="3">
        <f>AD7</f>
        <v/>
      </c>
      <c r="BM7" s="3">
        <f>AP7</f>
        <v/>
      </c>
      <c r="BN7" s="3">
        <f>IFERROR(100*AR7/AQ7,0)</f>
        <v/>
      </c>
      <c r="BO7" s="3">
        <f>AK7</f>
        <v/>
      </c>
      <c r="BP7" s="3">
        <f>IFERROR(200000*AF7/AE7,0)</f>
        <v/>
      </c>
      <c r="BQ7" s="3">
        <f>AG7</f>
        <v/>
      </c>
      <c r="BR7" s="3">
        <f>AH7</f>
        <v/>
      </c>
      <c r="BS7" s="3">
        <f>AI7</f>
        <v/>
      </c>
      <c r="BT7" s="3">
        <f>AJ7</f>
        <v/>
      </c>
      <c r="BU7" s="3">
        <f>AL7</f>
        <v/>
      </c>
      <c r="BV7" s="3">
        <f>AM7</f>
        <v/>
      </c>
      <c r="BW7" s="3">
        <f>IF(AN7=0,100,100*AO7/AN7)</f>
        <v/>
      </c>
      <c r="BX7" s="3">
        <f>AS7</f>
        <v/>
      </c>
    </row>
    <row r="8">
      <c r="A8" t="inlineStr">
        <is>
          <t>Group</t>
        </is>
      </c>
      <c r="B8" t="inlineStr">
        <is>
          <t>Entity A1</t>
        </is>
      </c>
      <c r="C8" t="inlineStr">
        <is>
          <t>Plant 02</t>
        </is>
      </c>
      <c r="D8" t="inlineStr">
        <is>
          <t>2026-04</t>
        </is>
      </c>
      <c r="E8" t="n">
        <v>188.9</v>
      </c>
      <c r="F8" t="n">
        <v>720</v>
      </c>
      <c r="G8" t="n">
        <v>718</v>
      </c>
      <c r="H8" t="n">
        <v>675.1</v>
      </c>
      <c r="I8" t="n">
        <v>31</v>
      </c>
      <c r="J8" t="n">
        <v>135630</v>
      </c>
      <c r="K8" t="n">
        <v>136008</v>
      </c>
      <c r="L8" t="n">
        <v>117160</v>
      </c>
      <c r="M8" t="n">
        <v>101595</v>
      </c>
      <c r="N8" t="n">
        <v>98478</v>
      </c>
      <c r="O8" t="n">
        <v>110890</v>
      </c>
      <c r="P8" t="n">
        <v>24227</v>
      </c>
      <c r="Q8" t="n">
        <v>19946</v>
      </c>
      <c r="R8" t="n">
        <v>5856</v>
      </c>
      <c r="S8" t="n">
        <v>5</v>
      </c>
      <c r="T8" t="n">
        <v>28.6</v>
      </c>
      <c r="U8" t="n">
        <v>40</v>
      </c>
      <c r="V8" t="n">
        <v>34</v>
      </c>
      <c r="W8" t="n">
        <v>293950</v>
      </c>
      <c r="X8" t="n">
        <v>67780.39999999999</v>
      </c>
      <c r="Y8" t="n">
        <v>1112.1</v>
      </c>
      <c r="Z8" t="n">
        <v>202909</v>
      </c>
      <c r="AA8" t="n">
        <v>69227</v>
      </c>
      <c r="AB8" t="n">
        <v>349419</v>
      </c>
      <c r="AC8" t="n">
        <v>17173</v>
      </c>
      <c r="AD8" t="n">
        <v>2</v>
      </c>
      <c r="AE8" t="n">
        <v>61000</v>
      </c>
      <c r="AF8" t="n">
        <v>0</v>
      </c>
      <c r="AG8" t="n">
        <v>0</v>
      </c>
      <c r="AH8" t="n">
        <v>6</v>
      </c>
      <c r="AI8" t="n">
        <v>0</v>
      </c>
      <c r="AJ8" t="n">
        <v>0</v>
      </c>
      <c r="AK8" t="n">
        <v>0</v>
      </c>
      <c r="AL8" t="n">
        <v>6</v>
      </c>
      <c r="AM8" t="n">
        <v>2</v>
      </c>
      <c r="AN8" t="n">
        <v>3</v>
      </c>
      <c r="AO8" t="n">
        <v>3</v>
      </c>
      <c r="AP8" t="n">
        <v>1</v>
      </c>
      <c r="AQ8" t="n">
        <v>187</v>
      </c>
      <c r="AR8" t="n">
        <v>11</v>
      </c>
      <c r="AS8" t="n">
        <v>215</v>
      </c>
      <c r="AT8" s="3">
        <f>IFERROR(100*N8/L8,0)</f>
        <v/>
      </c>
      <c r="AU8" s="3">
        <f>IFERROR(100*N8/K8,0)</f>
        <v/>
      </c>
      <c r="AV8" s="3">
        <f>IFERROR(100*H8/F8,0)</f>
        <v/>
      </c>
      <c r="AW8" s="3">
        <f>IFERROR(100*N8/J8,0)</f>
        <v/>
      </c>
      <c r="AX8" s="3">
        <f>IFERROR(100*Q8/P8,0)</f>
        <v/>
      </c>
      <c r="AY8" s="3">
        <f>IFERROR(100*N8/O8,0)</f>
        <v/>
      </c>
      <c r="AZ8" s="3">
        <f>IFERROR(H8/S8,0)</f>
        <v/>
      </c>
      <c r="BA8" s="3">
        <f>IFERROR(T8/S8,0)</f>
        <v/>
      </c>
      <c r="BB8" s="3">
        <f>I8</f>
        <v/>
      </c>
      <c r="BC8" s="3">
        <f>R8</f>
        <v/>
      </c>
      <c r="BD8" s="3">
        <f>IFERROR(100*V8/U8,0)</f>
        <v/>
      </c>
      <c r="BE8" s="3">
        <f>IFERROR(1000*(W8+Y8)/N8,0)</f>
        <v/>
      </c>
      <c r="BF8" s="3">
        <f>W8</f>
        <v/>
      </c>
      <c r="BG8" s="3">
        <f>X8</f>
        <v/>
      </c>
      <c r="BH8" s="3">
        <f>Z8</f>
        <v/>
      </c>
      <c r="BI8" s="3">
        <f>AA8</f>
        <v/>
      </c>
      <c r="BJ8" s="3">
        <f>IFERROR(AB8/N8,0)</f>
        <v/>
      </c>
      <c r="BK8" s="3">
        <f>AC8</f>
        <v/>
      </c>
      <c r="BL8" s="3">
        <f>AD8</f>
        <v/>
      </c>
      <c r="BM8" s="3">
        <f>AP8</f>
        <v/>
      </c>
      <c r="BN8" s="3">
        <f>IFERROR(100*AR8/AQ8,0)</f>
        <v/>
      </c>
      <c r="BO8" s="3">
        <f>AK8</f>
        <v/>
      </c>
      <c r="BP8" s="3">
        <f>IFERROR(200000*AF8/AE8,0)</f>
        <v/>
      </c>
      <c r="BQ8" s="3">
        <f>AG8</f>
        <v/>
      </c>
      <c r="BR8" s="3">
        <f>AH8</f>
        <v/>
      </c>
      <c r="BS8" s="3">
        <f>AI8</f>
        <v/>
      </c>
      <c r="BT8" s="3">
        <f>AJ8</f>
        <v/>
      </c>
      <c r="BU8" s="3">
        <f>AL8</f>
        <v/>
      </c>
      <c r="BV8" s="3">
        <f>AM8</f>
        <v/>
      </c>
      <c r="BW8" s="3">
        <f>IF(AN8=0,100,100*AO8/AN8)</f>
        <v/>
      </c>
      <c r="BX8" s="3">
        <f>AS8</f>
        <v/>
      </c>
    </row>
    <row r="9">
      <c r="A9" t="inlineStr">
        <is>
          <t>Group</t>
        </is>
      </c>
      <c r="B9" t="inlineStr">
        <is>
          <t>Entity A1</t>
        </is>
      </c>
      <c r="C9" t="inlineStr">
        <is>
          <t>Plant 02</t>
        </is>
      </c>
      <c r="D9" t="inlineStr">
        <is>
          <t>2026-05</t>
        </is>
      </c>
      <c r="E9" t="n">
        <v>188.9</v>
      </c>
      <c r="F9" t="n">
        <v>744</v>
      </c>
      <c r="G9" t="n">
        <v>690</v>
      </c>
      <c r="H9" t="n">
        <v>630.7</v>
      </c>
      <c r="I9" t="n">
        <v>45.8</v>
      </c>
      <c r="J9" t="n">
        <v>130341</v>
      </c>
      <c r="K9" t="n">
        <v>140542</v>
      </c>
      <c r="L9" t="n">
        <v>118660</v>
      </c>
      <c r="M9" t="n">
        <v>98372</v>
      </c>
      <c r="N9" t="n">
        <v>96839</v>
      </c>
      <c r="O9" t="n">
        <v>102676</v>
      </c>
      <c r="P9" t="n">
        <v>19541</v>
      </c>
      <c r="Q9" t="n">
        <v>16926</v>
      </c>
      <c r="R9" t="n">
        <v>8652</v>
      </c>
      <c r="S9" t="n">
        <v>5</v>
      </c>
      <c r="T9" t="n">
        <v>40.5</v>
      </c>
      <c r="U9" t="n">
        <v>44</v>
      </c>
      <c r="V9" t="n">
        <v>33</v>
      </c>
      <c r="W9" t="n">
        <v>350205.1</v>
      </c>
      <c r="X9" t="n">
        <v>97181.8</v>
      </c>
      <c r="Y9" t="n">
        <v>1212.1</v>
      </c>
      <c r="Z9" t="n">
        <v>176546</v>
      </c>
      <c r="AA9" t="n">
        <v>62330</v>
      </c>
      <c r="AB9" t="n">
        <v>375349</v>
      </c>
      <c r="AC9" t="n">
        <v>20499</v>
      </c>
      <c r="AD9" t="n">
        <v>4</v>
      </c>
      <c r="AE9" t="n">
        <v>69000</v>
      </c>
      <c r="AF9" t="n">
        <v>1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5</v>
      </c>
      <c r="AM9" t="n">
        <v>1</v>
      </c>
      <c r="AN9" t="n">
        <v>0</v>
      </c>
      <c r="AO9" t="n">
        <v>0</v>
      </c>
      <c r="AP9" t="n">
        <v>0</v>
      </c>
      <c r="AQ9" t="n">
        <v>197</v>
      </c>
      <c r="AR9" t="n">
        <v>21</v>
      </c>
      <c r="AS9" t="n">
        <v>185</v>
      </c>
      <c r="AT9" s="3">
        <f>IFERROR(100*N9/L9,0)</f>
        <v/>
      </c>
      <c r="AU9" s="3">
        <f>IFERROR(100*N9/K9,0)</f>
        <v/>
      </c>
      <c r="AV9" s="3">
        <f>IFERROR(100*H9/F9,0)</f>
        <v/>
      </c>
      <c r="AW9" s="3">
        <f>IFERROR(100*N9/J9,0)</f>
        <v/>
      </c>
      <c r="AX9" s="3">
        <f>IFERROR(100*Q9/P9,0)</f>
        <v/>
      </c>
      <c r="AY9" s="3">
        <f>IFERROR(100*N9/O9,0)</f>
        <v/>
      </c>
      <c r="AZ9" s="3">
        <f>IFERROR(H9/S9,0)</f>
        <v/>
      </c>
      <c r="BA9" s="3">
        <f>IFERROR(T9/S9,0)</f>
        <v/>
      </c>
      <c r="BB9" s="3">
        <f>I9</f>
        <v/>
      </c>
      <c r="BC9" s="3">
        <f>R9</f>
        <v/>
      </c>
      <c r="BD9" s="3">
        <f>IFERROR(100*V9/U9,0)</f>
        <v/>
      </c>
      <c r="BE9" s="3">
        <f>IFERROR(1000*(W9+Y9)/N9,0)</f>
        <v/>
      </c>
      <c r="BF9" s="3">
        <f>W9</f>
        <v/>
      </c>
      <c r="BG9" s="3">
        <f>X9</f>
        <v/>
      </c>
      <c r="BH9" s="3">
        <f>Z9</f>
        <v/>
      </c>
      <c r="BI9" s="3">
        <f>AA9</f>
        <v/>
      </c>
      <c r="BJ9" s="3">
        <f>IFERROR(AB9/N9,0)</f>
        <v/>
      </c>
      <c r="BK9" s="3">
        <f>AC9</f>
        <v/>
      </c>
      <c r="BL9" s="3">
        <f>AD9</f>
        <v/>
      </c>
      <c r="BM9" s="3">
        <f>AP9</f>
        <v/>
      </c>
      <c r="BN9" s="3">
        <f>IFERROR(100*AR9/AQ9,0)</f>
        <v/>
      </c>
      <c r="BO9" s="3">
        <f>AK9</f>
        <v/>
      </c>
      <c r="BP9" s="3">
        <f>IFERROR(200000*AF9/AE9,0)</f>
        <v/>
      </c>
      <c r="BQ9" s="3">
        <f>AG9</f>
        <v/>
      </c>
      <c r="BR9" s="3">
        <f>AH9</f>
        <v/>
      </c>
      <c r="BS9" s="3">
        <f>AI9</f>
        <v/>
      </c>
      <c r="BT9" s="3">
        <f>AJ9</f>
        <v/>
      </c>
      <c r="BU9" s="3">
        <f>AL9</f>
        <v/>
      </c>
      <c r="BV9" s="3">
        <f>AM9</f>
        <v/>
      </c>
      <c r="BW9" s="3">
        <f>IF(AN9=0,100,100*AO9/AN9)</f>
        <v/>
      </c>
      <c r="BX9" s="3">
        <f>AS9</f>
        <v/>
      </c>
    </row>
    <row r="10">
      <c r="A10" t="inlineStr">
        <is>
          <t>Group</t>
        </is>
      </c>
      <c r="B10" t="inlineStr">
        <is>
          <t>Entity A1</t>
        </is>
      </c>
      <c r="C10" t="inlineStr">
        <is>
          <t>Plant 02</t>
        </is>
      </c>
      <c r="D10" t="inlineStr">
        <is>
          <t>2026-06</t>
        </is>
      </c>
      <c r="E10" t="n">
        <v>188.9</v>
      </c>
      <c r="F10" t="n">
        <v>720</v>
      </c>
      <c r="G10" t="n">
        <v>718</v>
      </c>
      <c r="H10" t="n">
        <v>669.9</v>
      </c>
      <c r="I10" t="n">
        <v>37.1</v>
      </c>
      <c r="J10" t="n">
        <v>135630</v>
      </c>
      <c r="K10" t="n">
        <v>136008</v>
      </c>
      <c r="L10" t="n">
        <v>120521</v>
      </c>
      <c r="M10" t="n">
        <v>96232</v>
      </c>
      <c r="N10" t="n">
        <v>91848</v>
      </c>
      <c r="O10" t="n">
        <v>97224</v>
      </c>
      <c r="P10" t="n">
        <v>21417</v>
      </c>
      <c r="Q10" t="n">
        <v>17596</v>
      </c>
      <c r="R10" t="n">
        <v>7008</v>
      </c>
      <c r="S10" t="n">
        <v>4</v>
      </c>
      <c r="T10" t="n">
        <v>32.6</v>
      </c>
      <c r="U10" t="n">
        <v>36</v>
      </c>
      <c r="V10" t="n">
        <v>31</v>
      </c>
      <c r="W10" t="n">
        <v>321487.9</v>
      </c>
      <c r="X10" t="n">
        <v>71503.8</v>
      </c>
      <c r="Y10" t="n">
        <v>1098.9</v>
      </c>
      <c r="Z10" t="n">
        <v>174177</v>
      </c>
      <c r="AA10" t="n">
        <v>54970</v>
      </c>
      <c r="AB10" t="n">
        <v>368624</v>
      </c>
      <c r="AC10" t="n">
        <v>28075</v>
      </c>
      <c r="AD10" t="n">
        <v>2</v>
      </c>
      <c r="AE10" t="n">
        <v>62000</v>
      </c>
      <c r="AF10" t="n">
        <v>1</v>
      </c>
      <c r="AG10" t="n">
        <v>0</v>
      </c>
      <c r="AH10" t="n">
        <v>4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2</v>
      </c>
      <c r="AO10" t="n">
        <v>1</v>
      </c>
      <c r="AP10" t="n">
        <v>1</v>
      </c>
      <c r="AQ10" t="n">
        <v>194</v>
      </c>
      <c r="AR10" t="n">
        <v>21</v>
      </c>
      <c r="AS10" t="n">
        <v>155</v>
      </c>
      <c r="AT10" s="3">
        <f>IFERROR(100*N10/L10,0)</f>
        <v/>
      </c>
      <c r="AU10" s="3">
        <f>IFERROR(100*N10/K10,0)</f>
        <v/>
      </c>
      <c r="AV10" s="3">
        <f>IFERROR(100*H10/F10,0)</f>
        <v/>
      </c>
      <c r="AW10" s="3">
        <f>IFERROR(100*N10/J10,0)</f>
        <v/>
      </c>
      <c r="AX10" s="3">
        <f>IFERROR(100*Q10/P10,0)</f>
        <v/>
      </c>
      <c r="AY10" s="3">
        <f>IFERROR(100*N10/O10,0)</f>
        <v/>
      </c>
      <c r="AZ10" s="3">
        <f>IFERROR(H10/S10,0)</f>
        <v/>
      </c>
      <c r="BA10" s="3">
        <f>IFERROR(T10/S10,0)</f>
        <v/>
      </c>
      <c r="BB10" s="3">
        <f>I10</f>
        <v/>
      </c>
      <c r="BC10" s="3">
        <f>R10</f>
        <v/>
      </c>
      <c r="BD10" s="3">
        <f>IFERROR(100*V10/U10,0)</f>
        <v/>
      </c>
      <c r="BE10" s="3">
        <f>IFERROR(1000*(W10+Y10)/N10,0)</f>
        <v/>
      </c>
      <c r="BF10" s="3">
        <f>W10</f>
        <v/>
      </c>
      <c r="BG10" s="3">
        <f>X10</f>
        <v/>
      </c>
      <c r="BH10" s="3">
        <f>Z10</f>
        <v/>
      </c>
      <c r="BI10" s="3">
        <f>AA10</f>
        <v/>
      </c>
      <c r="BJ10" s="3">
        <f>IFERROR(AB10/N10,0)</f>
        <v/>
      </c>
      <c r="BK10" s="3">
        <f>AC10</f>
        <v/>
      </c>
      <c r="BL10" s="3">
        <f>AD10</f>
        <v/>
      </c>
      <c r="BM10" s="3">
        <f>AP10</f>
        <v/>
      </c>
      <c r="BN10" s="3">
        <f>IFERROR(100*AR10/AQ10,0)</f>
        <v/>
      </c>
      <c r="BO10" s="3">
        <f>AK10</f>
        <v/>
      </c>
      <c r="BP10" s="3">
        <f>IFERROR(200000*AF10/AE10,0)</f>
        <v/>
      </c>
      <c r="BQ10" s="3">
        <f>AG10</f>
        <v/>
      </c>
      <c r="BR10" s="3">
        <f>AH10</f>
        <v/>
      </c>
      <c r="BS10" s="3">
        <f>AI10</f>
        <v/>
      </c>
      <c r="BT10" s="3">
        <f>AJ10</f>
        <v/>
      </c>
      <c r="BU10" s="3">
        <f>AL10</f>
        <v/>
      </c>
      <c r="BV10" s="3">
        <f>AM10</f>
        <v/>
      </c>
      <c r="BW10" s="3">
        <f>IF(AN10=0,100,100*AO10/AN10)</f>
        <v/>
      </c>
      <c r="BX10" s="3">
        <f>AS10</f>
        <v/>
      </c>
    </row>
    <row r="11">
      <c r="A11" t="inlineStr">
        <is>
          <t>Group</t>
        </is>
      </c>
      <c r="B11" t="inlineStr">
        <is>
          <t>Entity A1</t>
        </is>
      </c>
      <c r="C11" t="inlineStr">
        <is>
          <t>Plant 02</t>
        </is>
      </c>
      <c r="D11" t="inlineStr">
        <is>
          <t>2026-07</t>
        </is>
      </c>
      <c r="E11" t="n">
        <v>188.9</v>
      </c>
      <c r="F11" t="n">
        <v>744</v>
      </c>
      <c r="G11" t="n">
        <v>737</v>
      </c>
      <c r="H11" t="n">
        <v>655.4</v>
      </c>
      <c r="I11" t="n">
        <v>69.3</v>
      </c>
      <c r="J11" t="n">
        <v>139219</v>
      </c>
      <c r="K11" t="n">
        <v>140542</v>
      </c>
      <c r="L11" t="n">
        <v>122135</v>
      </c>
      <c r="M11" t="n">
        <v>101413</v>
      </c>
      <c r="N11" t="n">
        <v>97731</v>
      </c>
      <c r="O11" t="n">
        <v>108037</v>
      </c>
      <c r="P11" t="n">
        <v>20571</v>
      </c>
      <c r="Q11" t="n">
        <v>17916</v>
      </c>
      <c r="R11" t="n">
        <v>13091</v>
      </c>
      <c r="S11" t="n">
        <v>6</v>
      </c>
      <c r="T11" t="n">
        <v>65.7</v>
      </c>
      <c r="U11" t="n">
        <v>56</v>
      </c>
      <c r="V11" t="n">
        <v>44</v>
      </c>
      <c r="W11" t="n">
        <v>350472.9</v>
      </c>
      <c r="X11" t="n">
        <v>93258.3</v>
      </c>
      <c r="Y11" t="n">
        <v>1434.2</v>
      </c>
      <c r="Z11" t="n">
        <v>204288</v>
      </c>
      <c r="AA11" t="n">
        <v>57701</v>
      </c>
      <c r="AB11" t="n">
        <v>356252</v>
      </c>
      <c r="AC11" t="n">
        <v>22870</v>
      </c>
      <c r="AD11" t="n">
        <v>2</v>
      </c>
      <c r="AE11" t="n">
        <v>68000</v>
      </c>
      <c r="AF11" t="n">
        <v>0</v>
      </c>
      <c r="AG11" t="n">
        <v>1</v>
      </c>
      <c r="AH11" t="n">
        <v>6</v>
      </c>
      <c r="AI11" t="n">
        <v>0</v>
      </c>
      <c r="AJ11" t="n">
        <v>1</v>
      </c>
      <c r="AK11" t="n">
        <v>0</v>
      </c>
      <c r="AL11" t="n">
        <v>7</v>
      </c>
      <c r="AM11" t="n">
        <v>0</v>
      </c>
      <c r="AN11" t="n">
        <v>1</v>
      </c>
      <c r="AO11" t="n">
        <v>1</v>
      </c>
      <c r="AP11" t="n">
        <v>0</v>
      </c>
      <c r="AQ11" t="n">
        <v>129</v>
      </c>
      <c r="AR11" t="n">
        <v>15</v>
      </c>
      <c r="AS11" t="n">
        <v>125</v>
      </c>
      <c r="AT11" s="3">
        <f>IFERROR(100*N11/L11,0)</f>
        <v/>
      </c>
      <c r="AU11" s="3">
        <f>IFERROR(100*N11/K11,0)</f>
        <v/>
      </c>
      <c r="AV11" s="3">
        <f>IFERROR(100*H11/F11,0)</f>
        <v/>
      </c>
      <c r="AW11" s="3">
        <f>IFERROR(100*N11/J11,0)</f>
        <v/>
      </c>
      <c r="AX11" s="3">
        <f>IFERROR(100*Q11/P11,0)</f>
        <v/>
      </c>
      <c r="AY11" s="3">
        <f>IFERROR(100*N11/O11,0)</f>
        <v/>
      </c>
      <c r="AZ11" s="3">
        <f>IFERROR(H11/S11,0)</f>
        <v/>
      </c>
      <c r="BA11" s="3">
        <f>IFERROR(T11/S11,0)</f>
        <v/>
      </c>
      <c r="BB11" s="3">
        <f>I11</f>
        <v/>
      </c>
      <c r="BC11" s="3">
        <f>R11</f>
        <v/>
      </c>
      <c r="BD11" s="3">
        <f>IFERROR(100*V11/U11,0)</f>
        <v/>
      </c>
      <c r="BE11" s="3">
        <f>IFERROR(1000*(W11+Y11)/N11,0)</f>
        <v/>
      </c>
      <c r="BF11" s="3">
        <f>W11</f>
        <v/>
      </c>
      <c r="BG11" s="3">
        <f>X11</f>
        <v/>
      </c>
      <c r="BH11" s="3">
        <f>Z11</f>
        <v/>
      </c>
      <c r="BI11" s="3">
        <f>AA11</f>
        <v/>
      </c>
      <c r="BJ11" s="3">
        <f>IFERROR(AB11/N11,0)</f>
        <v/>
      </c>
      <c r="BK11" s="3">
        <f>AC11</f>
        <v/>
      </c>
      <c r="BL11" s="3">
        <f>AD11</f>
        <v/>
      </c>
      <c r="BM11" s="3">
        <f>AP11</f>
        <v/>
      </c>
      <c r="BN11" s="3">
        <f>IFERROR(100*AR11/AQ11,0)</f>
        <v/>
      </c>
      <c r="BO11" s="3">
        <f>AK11</f>
        <v/>
      </c>
      <c r="BP11" s="3">
        <f>IFERROR(200000*AF11/AE11,0)</f>
        <v/>
      </c>
      <c r="BQ11" s="3">
        <f>AG11</f>
        <v/>
      </c>
      <c r="BR11" s="3">
        <f>AH11</f>
        <v/>
      </c>
      <c r="BS11" s="3">
        <f>AI11</f>
        <v/>
      </c>
      <c r="BT11" s="3">
        <f>AJ11</f>
        <v/>
      </c>
      <c r="BU11" s="3">
        <f>AL11</f>
        <v/>
      </c>
      <c r="BV11" s="3">
        <f>AM11</f>
        <v/>
      </c>
      <c r="BW11" s="3">
        <f>IF(AN11=0,100,100*AO11/AN11)</f>
        <v/>
      </c>
      <c r="BX11" s="3">
        <f>AS11</f>
        <v/>
      </c>
    </row>
    <row r="12">
      <c r="A12" t="inlineStr">
        <is>
          <t>Group</t>
        </is>
      </c>
      <c r="B12" t="inlineStr">
        <is>
          <t>Entity A1</t>
        </is>
      </c>
      <c r="C12" t="inlineStr">
        <is>
          <t>Plant 02</t>
        </is>
      </c>
      <c r="D12" t="inlineStr">
        <is>
          <t>2026-08</t>
        </is>
      </c>
      <c r="E12" t="n">
        <v>188.9</v>
      </c>
      <c r="F12" t="n">
        <v>744</v>
      </c>
      <c r="G12" t="n">
        <v>674</v>
      </c>
      <c r="H12" t="n">
        <v>603.4</v>
      </c>
      <c r="I12" t="n">
        <v>53.5</v>
      </c>
      <c r="J12" t="n">
        <v>127319</v>
      </c>
      <c r="K12" t="n">
        <v>140542</v>
      </c>
      <c r="L12" t="n">
        <v>109907</v>
      </c>
      <c r="M12" t="n">
        <v>90236</v>
      </c>
      <c r="N12" t="n">
        <v>86596</v>
      </c>
      <c r="O12" t="n">
        <v>97767</v>
      </c>
      <c r="P12" t="n">
        <v>22655</v>
      </c>
      <c r="Q12" t="n">
        <v>18611</v>
      </c>
      <c r="R12" t="n">
        <v>10106</v>
      </c>
      <c r="S12" t="n">
        <v>4</v>
      </c>
      <c r="T12" t="n">
        <v>46.8</v>
      </c>
      <c r="U12" t="n">
        <v>39</v>
      </c>
      <c r="V12" t="n">
        <v>37</v>
      </c>
      <c r="W12" t="n">
        <v>293787.6</v>
      </c>
      <c r="X12" t="n">
        <v>89718.10000000001</v>
      </c>
      <c r="Y12" t="n">
        <v>1404.1</v>
      </c>
      <c r="Z12" t="n">
        <v>164589</v>
      </c>
      <c r="AA12" t="n">
        <v>62319</v>
      </c>
      <c r="AB12" t="n">
        <v>347920</v>
      </c>
      <c r="AC12" t="n">
        <v>23073</v>
      </c>
      <c r="AD12" t="n">
        <v>3</v>
      </c>
      <c r="AE12" t="n">
        <v>69000</v>
      </c>
      <c r="AF12" t="n">
        <v>0</v>
      </c>
      <c r="AG12" t="n">
        <v>1</v>
      </c>
      <c r="AH12" t="n">
        <v>5</v>
      </c>
      <c r="AI12" t="n">
        <v>1</v>
      </c>
      <c r="AJ12" t="n">
        <v>0</v>
      </c>
      <c r="AK12" t="n">
        <v>0</v>
      </c>
      <c r="AL12" t="n">
        <v>8</v>
      </c>
      <c r="AM12" t="n">
        <v>1</v>
      </c>
      <c r="AN12" t="n">
        <v>0</v>
      </c>
      <c r="AO12" t="n">
        <v>0</v>
      </c>
      <c r="AP12" t="n">
        <v>0</v>
      </c>
      <c r="AQ12" t="n">
        <v>212</v>
      </c>
      <c r="AR12" t="n">
        <v>32</v>
      </c>
      <c r="AS12" t="n">
        <v>95</v>
      </c>
      <c r="AT12" s="3">
        <f>IFERROR(100*N12/L12,0)</f>
        <v/>
      </c>
      <c r="AU12" s="3">
        <f>IFERROR(100*N12/K12,0)</f>
        <v/>
      </c>
      <c r="AV12" s="3">
        <f>IFERROR(100*H12/F12,0)</f>
        <v/>
      </c>
      <c r="AW12" s="3">
        <f>IFERROR(100*N12/J12,0)</f>
        <v/>
      </c>
      <c r="AX12" s="3">
        <f>IFERROR(100*Q12/P12,0)</f>
        <v/>
      </c>
      <c r="AY12" s="3">
        <f>IFERROR(100*N12/O12,0)</f>
        <v/>
      </c>
      <c r="AZ12" s="3">
        <f>IFERROR(H12/S12,0)</f>
        <v/>
      </c>
      <c r="BA12" s="3">
        <f>IFERROR(T12/S12,0)</f>
        <v/>
      </c>
      <c r="BB12" s="3">
        <f>I12</f>
        <v/>
      </c>
      <c r="BC12" s="3">
        <f>R12</f>
        <v/>
      </c>
      <c r="BD12" s="3">
        <f>IFERROR(100*V12/U12,0)</f>
        <v/>
      </c>
      <c r="BE12" s="3">
        <f>IFERROR(1000*(W12+Y12)/N12,0)</f>
        <v/>
      </c>
      <c r="BF12" s="3">
        <f>W12</f>
        <v/>
      </c>
      <c r="BG12" s="3">
        <f>X12</f>
        <v/>
      </c>
      <c r="BH12" s="3">
        <f>Z12</f>
        <v/>
      </c>
      <c r="BI12" s="3">
        <f>AA12</f>
        <v/>
      </c>
      <c r="BJ12" s="3">
        <f>IFERROR(AB12/N12,0)</f>
        <v/>
      </c>
      <c r="BK12" s="3">
        <f>AC12</f>
        <v/>
      </c>
      <c r="BL12" s="3">
        <f>AD12</f>
        <v/>
      </c>
      <c r="BM12" s="3">
        <f>AP12</f>
        <v/>
      </c>
      <c r="BN12" s="3">
        <f>IFERROR(100*AR12/AQ12,0)</f>
        <v/>
      </c>
      <c r="BO12" s="3">
        <f>AK12</f>
        <v/>
      </c>
      <c r="BP12" s="3">
        <f>IFERROR(200000*AF12/AE12,0)</f>
        <v/>
      </c>
      <c r="BQ12" s="3">
        <f>AG12</f>
        <v/>
      </c>
      <c r="BR12" s="3">
        <f>AH12</f>
        <v/>
      </c>
      <c r="BS12" s="3">
        <f>AI12</f>
        <v/>
      </c>
      <c r="BT12" s="3">
        <f>AJ12</f>
        <v/>
      </c>
      <c r="BU12" s="3">
        <f>AL12</f>
        <v/>
      </c>
      <c r="BV12" s="3">
        <f>AM12</f>
        <v/>
      </c>
      <c r="BW12" s="3">
        <f>IF(AN12=0,100,100*AO12/AN12)</f>
        <v/>
      </c>
      <c r="BX12" s="3">
        <f>AS12</f>
        <v/>
      </c>
    </row>
    <row r="13">
      <c r="A13" t="inlineStr">
        <is>
          <t>Group</t>
        </is>
      </c>
      <c r="B13" t="inlineStr">
        <is>
          <t>Entity A1</t>
        </is>
      </c>
      <c r="C13" t="inlineStr">
        <is>
          <t>Plant 02</t>
        </is>
      </c>
      <c r="D13" t="inlineStr">
        <is>
          <t>2026-09</t>
        </is>
      </c>
      <c r="E13" t="n">
        <v>188.9</v>
      </c>
      <c r="F13" t="n">
        <v>720</v>
      </c>
      <c r="G13" t="n">
        <v>717</v>
      </c>
      <c r="H13" t="n">
        <v>624.3</v>
      </c>
      <c r="I13" t="n">
        <v>78.2</v>
      </c>
      <c r="J13" t="n">
        <v>135441</v>
      </c>
      <c r="K13" t="n">
        <v>136008</v>
      </c>
      <c r="L13" t="n">
        <v>121475</v>
      </c>
      <c r="M13" t="n">
        <v>97250</v>
      </c>
      <c r="N13" t="n">
        <v>95233</v>
      </c>
      <c r="O13" t="n">
        <v>102279</v>
      </c>
      <c r="P13" t="n">
        <v>20791</v>
      </c>
      <c r="Q13" t="n">
        <v>17994</v>
      </c>
      <c r="R13" t="n">
        <v>14772</v>
      </c>
      <c r="S13" t="n">
        <v>6</v>
      </c>
      <c r="T13" t="n">
        <v>68.5</v>
      </c>
      <c r="U13" t="n">
        <v>33</v>
      </c>
      <c r="V13" t="n">
        <v>27</v>
      </c>
      <c r="W13" t="n">
        <v>308111</v>
      </c>
      <c r="X13" t="n">
        <v>70784.39999999999</v>
      </c>
      <c r="Y13" t="n">
        <v>940.2</v>
      </c>
      <c r="Z13" t="n">
        <v>245659</v>
      </c>
      <c r="AA13" t="n">
        <v>68824</v>
      </c>
      <c r="AB13" t="n">
        <v>358135</v>
      </c>
      <c r="AC13" t="n">
        <v>24322</v>
      </c>
      <c r="AD13" t="n">
        <v>4</v>
      </c>
      <c r="AE13" t="n">
        <v>95000</v>
      </c>
      <c r="AF13" t="n">
        <v>0</v>
      </c>
      <c r="AG13" t="n">
        <v>0</v>
      </c>
      <c r="AH13" t="n">
        <v>2</v>
      </c>
      <c r="AI13" t="n">
        <v>0</v>
      </c>
      <c r="AJ13" t="n">
        <v>1</v>
      </c>
      <c r="AK13" t="n">
        <v>0</v>
      </c>
      <c r="AL13" t="n">
        <v>6</v>
      </c>
      <c r="AM13" t="n">
        <v>1</v>
      </c>
      <c r="AN13" t="n">
        <v>2</v>
      </c>
      <c r="AO13" t="n">
        <v>1</v>
      </c>
      <c r="AP13" t="n">
        <v>1</v>
      </c>
      <c r="AQ13" t="n">
        <v>225</v>
      </c>
      <c r="AR13" t="n">
        <v>36</v>
      </c>
      <c r="AS13" t="n">
        <v>65</v>
      </c>
      <c r="AT13" s="3">
        <f>IFERROR(100*N13/L13,0)</f>
        <v/>
      </c>
      <c r="AU13" s="3">
        <f>IFERROR(100*N13/K13,0)</f>
        <v/>
      </c>
      <c r="AV13" s="3">
        <f>IFERROR(100*H13/F13,0)</f>
        <v/>
      </c>
      <c r="AW13" s="3">
        <f>IFERROR(100*N13/J13,0)</f>
        <v/>
      </c>
      <c r="AX13" s="3">
        <f>IFERROR(100*Q13/P13,0)</f>
        <v/>
      </c>
      <c r="AY13" s="3">
        <f>IFERROR(100*N13/O13,0)</f>
        <v/>
      </c>
      <c r="AZ13" s="3">
        <f>IFERROR(H13/S13,0)</f>
        <v/>
      </c>
      <c r="BA13" s="3">
        <f>IFERROR(T13/S13,0)</f>
        <v/>
      </c>
      <c r="BB13" s="3">
        <f>I13</f>
        <v/>
      </c>
      <c r="BC13" s="3">
        <f>R13</f>
        <v/>
      </c>
      <c r="BD13" s="3">
        <f>IFERROR(100*V13/U13,0)</f>
        <v/>
      </c>
      <c r="BE13" s="3">
        <f>IFERROR(1000*(W13+Y13)/N13,0)</f>
        <v/>
      </c>
      <c r="BF13" s="3">
        <f>W13</f>
        <v/>
      </c>
      <c r="BG13" s="3">
        <f>X13</f>
        <v/>
      </c>
      <c r="BH13" s="3">
        <f>Z13</f>
        <v/>
      </c>
      <c r="BI13" s="3">
        <f>AA13</f>
        <v/>
      </c>
      <c r="BJ13" s="3">
        <f>IFERROR(AB13/N13,0)</f>
        <v/>
      </c>
      <c r="BK13" s="3">
        <f>AC13</f>
        <v/>
      </c>
      <c r="BL13" s="3">
        <f>AD13</f>
        <v/>
      </c>
      <c r="BM13" s="3">
        <f>AP13</f>
        <v/>
      </c>
      <c r="BN13" s="3">
        <f>IFERROR(100*AR13/AQ13,0)</f>
        <v/>
      </c>
      <c r="BO13" s="3">
        <f>AK13</f>
        <v/>
      </c>
      <c r="BP13" s="3">
        <f>IFERROR(200000*AF13/AE13,0)</f>
        <v/>
      </c>
      <c r="BQ13" s="3">
        <f>AG13</f>
        <v/>
      </c>
      <c r="BR13" s="3">
        <f>AH13</f>
        <v/>
      </c>
      <c r="BS13" s="3">
        <f>AI13</f>
        <v/>
      </c>
      <c r="BT13" s="3">
        <f>AJ13</f>
        <v/>
      </c>
      <c r="BU13" s="3">
        <f>AL13</f>
        <v/>
      </c>
      <c r="BV13" s="3">
        <f>AM13</f>
        <v/>
      </c>
      <c r="BW13" s="3">
        <f>IF(AN13=0,100,100*AO13/AN13)</f>
        <v/>
      </c>
      <c r="BX13" s="3">
        <f>AS13</f>
        <v/>
      </c>
    </row>
    <row r="14">
      <c r="A14" t="inlineStr">
        <is>
          <t>Group</t>
        </is>
      </c>
      <c r="B14" t="inlineStr">
        <is>
          <t>Entity A1</t>
        </is>
      </c>
      <c r="C14" t="inlineStr">
        <is>
          <t>Plant 03</t>
        </is>
      </c>
      <c r="D14" t="inlineStr">
        <is>
          <t>2026-04</t>
        </is>
      </c>
      <c r="E14" t="n">
        <v>225.4</v>
      </c>
      <c r="F14" t="n">
        <v>720</v>
      </c>
      <c r="G14" t="n">
        <v>709</v>
      </c>
      <c r="H14" t="n">
        <v>679.1</v>
      </c>
      <c r="I14" t="n">
        <v>18.5</v>
      </c>
      <c r="J14" t="n">
        <v>159809</v>
      </c>
      <c r="K14" t="n">
        <v>162288</v>
      </c>
      <c r="L14" t="n">
        <v>140381</v>
      </c>
      <c r="M14" t="n">
        <v>137702</v>
      </c>
      <c r="N14" t="n">
        <v>135597</v>
      </c>
      <c r="O14" t="n">
        <v>151646</v>
      </c>
      <c r="P14" t="n">
        <v>30509</v>
      </c>
      <c r="Q14" t="n">
        <v>27116</v>
      </c>
      <c r="R14" t="n">
        <v>4170</v>
      </c>
      <c r="S14" t="n">
        <v>2</v>
      </c>
      <c r="T14" t="n">
        <v>11.6</v>
      </c>
      <c r="U14" t="n">
        <v>46</v>
      </c>
      <c r="V14" t="n">
        <v>45</v>
      </c>
      <c r="W14" t="n">
        <v>423748.9</v>
      </c>
      <c r="X14" t="n">
        <v>102285.4</v>
      </c>
      <c r="Y14" t="n">
        <v>1376.4</v>
      </c>
      <c r="Z14" t="n">
        <v>293580</v>
      </c>
      <c r="AA14" t="n">
        <v>100138</v>
      </c>
      <c r="AB14" t="n">
        <v>411317</v>
      </c>
      <c r="AC14" t="n">
        <v>5413</v>
      </c>
      <c r="AD14" t="n">
        <v>1</v>
      </c>
      <c r="AE14" t="n">
        <v>81000</v>
      </c>
      <c r="AF14" t="n">
        <v>0</v>
      </c>
      <c r="AG14" t="n">
        <v>0</v>
      </c>
      <c r="AH14" t="n">
        <v>5</v>
      </c>
      <c r="AI14" t="n">
        <v>0</v>
      </c>
      <c r="AJ14" t="n">
        <v>1</v>
      </c>
      <c r="AK14" t="n">
        <v>0</v>
      </c>
      <c r="AL14" t="n">
        <v>5</v>
      </c>
      <c r="AM14" t="n">
        <v>1</v>
      </c>
      <c r="AN14" t="n">
        <v>1</v>
      </c>
      <c r="AO14" t="n">
        <v>0</v>
      </c>
      <c r="AP14" t="n">
        <v>0</v>
      </c>
      <c r="AQ14" t="n">
        <v>130</v>
      </c>
      <c r="AR14" t="n">
        <v>5</v>
      </c>
      <c r="AS14" t="n">
        <v>218</v>
      </c>
      <c r="AT14" s="3">
        <f>IFERROR(100*N14/L14,0)</f>
        <v/>
      </c>
      <c r="AU14" s="3">
        <f>IFERROR(100*N14/K14,0)</f>
        <v/>
      </c>
      <c r="AV14" s="3">
        <f>IFERROR(100*H14/F14,0)</f>
        <v/>
      </c>
      <c r="AW14" s="3">
        <f>IFERROR(100*N14/J14,0)</f>
        <v/>
      </c>
      <c r="AX14" s="3">
        <f>IFERROR(100*Q14/P14,0)</f>
        <v/>
      </c>
      <c r="AY14" s="3">
        <f>IFERROR(100*N14/O14,0)</f>
        <v/>
      </c>
      <c r="AZ14" s="3">
        <f>IFERROR(H14/S14,0)</f>
        <v/>
      </c>
      <c r="BA14" s="3">
        <f>IFERROR(T14/S14,0)</f>
        <v/>
      </c>
      <c r="BB14" s="3">
        <f>I14</f>
        <v/>
      </c>
      <c r="BC14" s="3">
        <f>R14</f>
        <v/>
      </c>
      <c r="BD14" s="3">
        <f>IFERROR(100*V14/U14,0)</f>
        <v/>
      </c>
      <c r="BE14" s="3">
        <f>IFERROR(1000*(W14+Y14)/N14,0)</f>
        <v/>
      </c>
      <c r="BF14" s="3">
        <f>W14</f>
        <v/>
      </c>
      <c r="BG14" s="3">
        <f>X14</f>
        <v/>
      </c>
      <c r="BH14" s="3">
        <f>Z14</f>
        <v/>
      </c>
      <c r="BI14" s="3">
        <f>AA14</f>
        <v/>
      </c>
      <c r="BJ14" s="3">
        <f>IFERROR(AB14/N14,0)</f>
        <v/>
      </c>
      <c r="BK14" s="3">
        <f>AC14</f>
        <v/>
      </c>
      <c r="BL14" s="3">
        <f>AD14</f>
        <v/>
      </c>
      <c r="BM14" s="3">
        <f>AP14</f>
        <v/>
      </c>
      <c r="BN14" s="3">
        <f>IFERROR(100*AR14/AQ14,0)</f>
        <v/>
      </c>
      <c r="BO14" s="3">
        <f>AK14</f>
        <v/>
      </c>
      <c r="BP14" s="3">
        <f>IFERROR(200000*AF14/AE14,0)</f>
        <v/>
      </c>
      <c r="BQ14" s="3">
        <f>AG14</f>
        <v/>
      </c>
      <c r="BR14" s="3">
        <f>AH14</f>
        <v/>
      </c>
      <c r="BS14" s="3">
        <f>AI14</f>
        <v/>
      </c>
      <c r="BT14" s="3">
        <f>AJ14</f>
        <v/>
      </c>
      <c r="BU14" s="3">
        <f>AL14</f>
        <v/>
      </c>
      <c r="BV14" s="3">
        <f>AM14</f>
        <v/>
      </c>
      <c r="BW14" s="3">
        <f>IF(AN14=0,100,100*AO14/AN14)</f>
        <v/>
      </c>
      <c r="BX14" s="3">
        <f>AS14</f>
        <v/>
      </c>
    </row>
    <row r="15">
      <c r="A15" t="inlineStr">
        <is>
          <t>Group</t>
        </is>
      </c>
      <c r="B15" t="inlineStr">
        <is>
          <t>Entity A1</t>
        </is>
      </c>
      <c r="C15" t="inlineStr">
        <is>
          <t>Plant 03</t>
        </is>
      </c>
      <c r="D15" t="inlineStr">
        <is>
          <t>2026-05</t>
        </is>
      </c>
      <c r="E15" t="n">
        <v>225.4</v>
      </c>
      <c r="F15" t="n">
        <v>744</v>
      </c>
      <c r="G15" t="n">
        <v>675</v>
      </c>
      <c r="H15" t="n">
        <v>644.2</v>
      </c>
      <c r="I15" t="n">
        <v>22.6</v>
      </c>
      <c r="J15" t="n">
        <v>152145</v>
      </c>
      <c r="K15" t="n">
        <v>167698</v>
      </c>
      <c r="L15" t="n">
        <v>139327</v>
      </c>
      <c r="M15" t="n">
        <v>129882</v>
      </c>
      <c r="N15" t="n">
        <v>123727</v>
      </c>
      <c r="O15" t="n">
        <v>139092</v>
      </c>
      <c r="P15" t="n">
        <v>26667</v>
      </c>
      <c r="Q15" t="n">
        <v>22876</v>
      </c>
      <c r="R15" t="n">
        <v>5094</v>
      </c>
      <c r="S15" t="n">
        <v>4</v>
      </c>
      <c r="T15" t="n">
        <v>18.4</v>
      </c>
      <c r="U15" t="n">
        <v>54</v>
      </c>
      <c r="V15" t="n">
        <v>51</v>
      </c>
      <c r="W15" t="n">
        <v>380693.8</v>
      </c>
      <c r="X15" t="n">
        <v>88979.2</v>
      </c>
      <c r="Y15" t="n">
        <v>1092.1</v>
      </c>
      <c r="Z15" t="n">
        <v>320054</v>
      </c>
      <c r="AA15" t="n">
        <v>72786</v>
      </c>
      <c r="AB15" t="n">
        <v>378969</v>
      </c>
      <c r="AC15" t="n">
        <v>18096</v>
      </c>
      <c r="AD15" t="n">
        <v>1</v>
      </c>
      <c r="AE15" t="n">
        <v>76000</v>
      </c>
      <c r="AF15" t="n">
        <v>1</v>
      </c>
      <c r="AG15" t="n">
        <v>0</v>
      </c>
      <c r="AH15" t="n">
        <v>10</v>
      </c>
      <c r="AI15" t="n">
        <v>0</v>
      </c>
      <c r="AJ15" t="n">
        <v>1</v>
      </c>
      <c r="AK15" t="n">
        <v>0</v>
      </c>
      <c r="AL15" t="n">
        <v>10</v>
      </c>
      <c r="AM15" t="n">
        <v>2</v>
      </c>
      <c r="AN15" t="n">
        <v>0</v>
      </c>
      <c r="AO15" t="n">
        <v>0</v>
      </c>
      <c r="AP15" t="n">
        <v>0</v>
      </c>
      <c r="AQ15" t="n">
        <v>230</v>
      </c>
      <c r="AR15" t="n">
        <v>12</v>
      </c>
      <c r="AS15" t="n">
        <v>188</v>
      </c>
      <c r="AT15" s="3">
        <f>IFERROR(100*N15/L15,0)</f>
        <v/>
      </c>
      <c r="AU15" s="3">
        <f>IFERROR(100*N15/K15,0)</f>
        <v/>
      </c>
      <c r="AV15" s="3">
        <f>IFERROR(100*H15/F15,0)</f>
        <v/>
      </c>
      <c r="AW15" s="3">
        <f>IFERROR(100*N15/J15,0)</f>
        <v/>
      </c>
      <c r="AX15" s="3">
        <f>IFERROR(100*Q15/P15,0)</f>
        <v/>
      </c>
      <c r="AY15" s="3">
        <f>IFERROR(100*N15/O15,0)</f>
        <v/>
      </c>
      <c r="AZ15" s="3">
        <f>IFERROR(H15/S15,0)</f>
        <v/>
      </c>
      <c r="BA15" s="3">
        <f>IFERROR(T15/S15,0)</f>
        <v/>
      </c>
      <c r="BB15" s="3">
        <f>I15</f>
        <v/>
      </c>
      <c r="BC15" s="3">
        <f>R15</f>
        <v/>
      </c>
      <c r="BD15" s="3">
        <f>IFERROR(100*V15/U15,0)</f>
        <v/>
      </c>
      <c r="BE15" s="3">
        <f>IFERROR(1000*(W15+Y15)/N15,0)</f>
        <v/>
      </c>
      <c r="BF15" s="3">
        <f>W15</f>
        <v/>
      </c>
      <c r="BG15" s="3">
        <f>X15</f>
        <v/>
      </c>
      <c r="BH15" s="3">
        <f>Z15</f>
        <v/>
      </c>
      <c r="BI15" s="3">
        <f>AA15</f>
        <v/>
      </c>
      <c r="BJ15" s="3">
        <f>IFERROR(AB15/N15,0)</f>
        <v/>
      </c>
      <c r="BK15" s="3">
        <f>AC15</f>
        <v/>
      </c>
      <c r="BL15" s="3">
        <f>AD15</f>
        <v/>
      </c>
      <c r="BM15" s="3">
        <f>AP15</f>
        <v/>
      </c>
      <c r="BN15" s="3">
        <f>IFERROR(100*AR15/AQ15,0)</f>
        <v/>
      </c>
      <c r="BO15" s="3">
        <f>AK15</f>
        <v/>
      </c>
      <c r="BP15" s="3">
        <f>IFERROR(200000*AF15/AE15,0)</f>
        <v/>
      </c>
      <c r="BQ15" s="3">
        <f>AG15</f>
        <v/>
      </c>
      <c r="BR15" s="3">
        <f>AH15</f>
        <v/>
      </c>
      <c r="BS15" s="3">
        <f>AI15</f>
        <v/>
      </c>
      <c r="BT15" s="3">
        <f>AJ15</f>
        <v/>
      </c>
      <c r="BU15" s="3">
        <f>AL15</f>
        <v/>
      </c>
      <c r="BV15" s="3">
        <f>AM15</f>
        <v/>
      </c>
      <c r="BW15" s="3">
        <f>IF(AN15=0,100,100*AO15/AN15)</f>
        <v/>
      </c>
      <c r="BX15" s="3">
        <f>AS15</f>
        <v/>
      </c>
    </row>
    <row r="16">
      <c r="A16" t="inlineStr">
        <is>
          <t>Group</t>
        </is>
      </c>
      <c r="B16" t="inlineStr">
        <is>
          <t>Entity A1</t>
        </is>
      </c>
      <c r="C16" t="inlineStr">
        <is>
          <t>Plant 03</t>
        </is>
      </c>
      <c r="D16" t="inlineStr">
        <is>
          <t>2026-06</t>
        </is>
      </c>
      <c r="E16" t="n">
        <v>225.4</v>
      </c>
      <c r="F16" t="n">
        <v>720</v>
      </c>
      <c r="G16" t="n">
        <v>719</v>
      </c>
      <c r="H16" t="n">
        <v>672.3</v>
      </c>
      <c r="I16" t="n">
        <v>30</v>
      </c>
      <c r="J16" t="n">
        <v>162063</v>
      </c>
      <c r="K16" t="n">
        <v>162288</v>
      </c>
      <c r="L16" t="n">
        <v>141008</v>
      </c>
      <c r="M16" t="n">
        <v>134645</v>
      </c>
      <c r="N16" t="n">
        <v>129167</v>
      </c>
      <c r="O16" t="n">
        <v>140543</v>
      </c>
      <c r="P16" t="n">
        <v>28463</v>
      </c>
      <c r="Q16" t="n">
        <v>25992</v>
      </c>
      <c r="R16" t="n">
        <v>6762</v>
      </c>
      <c r="S16" t="n">
        <v>4</v>
      </c>
      <c r="T16" t="n">
        <v>23.1</v>
      </c>
      <c r="U16" t="n">
        <v>50</v>
      </c>
      <c r="V16" t="n">
        <v>48</v>
      </c>
      <c r="W16" t="n">
        <v>345324.8</v>
      </c>
      <c r="X16" t="n">
        <v>105483</v>
      </c>
      <c r="Y16" t="n">
        <v>952.7</v>
      </c>
      <c r="Z16" t="n">
        <v>282180</v>
      </c>
      <c r="AA16" t="n">
        <v>73193</v>
      </c>
      <c r="AB16" t="n">
        <v>376725</v>
      </c>
      <c r="AC16" t="n">
        <v>14242</v>
      </c>
      <c r="AD16" t="n">
        <v>1</v>
      </c>
      <c r="AE16" t="n">
        <v>72000</v>
      </c>
      <c r="AF16" t="n">
        <v>1</v>
      </c>
      <c r="AG16" t="n">
        <v>0</v>
      </c>
      <c r="AH16" t="n">
        <v>8</v>
      </c>
      <c r="AI16" t="n">
        <v>0</v>
      </c>
      <c r="AJ16" t="n">
        <v>0</v>
      </c>
      <c r="AK16" t="n">
        <v>0</v>
      </c>
      <c r="AL16" t="n">
        <v>13</v>
      </c>
      <c r="AM16" t="n">
        <v>3</v>
      </c>
      <c r="AN16" t="n">
        <v>2</v>
      </c>
      <c r="AO16" t="n">
        <v>2</v>
      </c>
      <c r="AP16" t="n">
        <v>0</v>
      </c>
      <c r="AQ16" t="n">
        <v>181</v>
      </c>
      <c r="AR16" t="n">
        <v>13</v>
      </c>
      <c r="AS16" t="n">
        <v>158</v>
      </c>
      <c r="AT16" s="3">
        <f>IFERROR(100*N16/L16,0)</f>
        <v/>
      </c>
      <c r="AU16" s="3">
        <f>IFERROR(100*N16/K16,0)</f>
        <v/>
      </c>
      <c r="AV16" s="3">
        <f>IFERROR(100*H16/F16,0)</f>
        <v/>
      </c>
      <c r="AW16" s="3">
        <f>IFERROR(100*N16/J16,0)</f>
        <v/>
      </c>
      <c r="AX16" s="3">
        <f>IFERROR(100*Q16/P16,0)</f>
        <v/>
      </c>
      <c r="AY16" s="3">
        <f>IFERROR(100*N16/O16,0)</f>
        <v/>
      </c>
      <c r="AZ16" s="3">
        <f>IFERROR(H16/S16,0)</f>
        <v/>
      </c>
      <c r="BA16" s="3">
        <f>IFERROR(T16/S16,0)</f>
        <v/>
      </c>
      <c r="BB16" s="3">
        <f>I16</f>
        <v/>
      </c>
      <c r="BC16" s="3">
        <f>R16</f>
        <v/>
      </c>
      <c r="BD16" s="3">
        <f>IFERROR(100*V16/U16,0)</f>
        <v/>
      </c>
      <c r="BE16" s="3">
        <f>IFERROR(1000*(W16+Y16)/N16,0)</f>
        <v/>
      </c>
      <c r="BF16" s="3">
        <f>W16</f>
        <v/>
      </c>
      <c r="BG16" s="3">
        <f>X16</f>
        <v/>
      </c>
      <c r="BH16" s="3">
        <f>Z16</f>
        <v/>
      </c>
      <c r="BI16" s="3">
        <f>AA16</f>
        <v/>
      </c>
      <c r="BJ16" s="3">
        <f>IFERROR(AB16/N16,0)</f>
        <v/>
      </c>
      <c r="BK16" s="3">
        <f>AC16</f>
        <v/>
      </c>
      <c r="BL16" s="3">
        <f>AD16</f>
        <v/>
      </c>
      <c r="BM16" s="3">
        <f>AP16</f>
        <v/>
      </c>
      <c r="BN16" s="3">
        <f>IFERROR(100*AR16/AQ16,0)</f>
        <v/>
      </c>
      <c r="BO16" s="3">
        <f>AK16</f>
        <v/>
      </c>
      <c r="BP16" s="3">
        <f>IFERROR(200000*AF16/AE16,0)</f>
        <v/>
      </c>
      <c r="BQ16" s="3">
        <f>AG16</f>
        <v/>
      </c>
      <c r="BR16" s="3">
        <f>AH16</f>
        <v/>
      </c>
      <c r="BS16" s="3">
        <f>AI16</f>
        <v/>
      </c>
      <c r="BT16" s="3">
        <f>AJ16</f>
        <v/>
      </c>
      <c r="BU16" s="3">
        <f>AL16</f>
        <v/>
      </c>
      <c r="BV16" s="3">
        <f>AM16</f>
        <v/>
      </c>
      <c r="BW16" s="3">
        <f>IF(AN16=0,100,100*AO16/AN16)</f>
        <v/>
      </c>
      <c r="BX16" s="3">
        <f>AS16</f>
        <v/>
      </c>
    </row>
    <row r="17">
      <c r="A17" t="inlineStr">
        <is>
          <t>Group</t>
        </is>
      </c>
      <c r="B17" t="inlineStr">
        <is>
          <t>Entity A1</t>
        </is>
      </c>
      <c r="C17" t="inlineStr">
        <is>
          <t>Plant 03</t>
        </is>
      </c>
      <c r="D17" t="inlineStr">
        <is>
          <t>2026-07</t>
        </is>
      </c>
      <c r="E17" t="n">
        <v>225.4</v>
      </c>
      <c r="F17" t="n">
        <v>744</v>
      </c>
      <c r="G17" t="n">
        <v>738</v>
      </c>
      <c r="H17" t="n">
        <v>697.8</v>
      </c>
      <c r="I17" t="n">
        <v>30.6</v>
      </c>
      <c r="J17" t="n">
        <v>166345</v>
      </c>
      <c r="K17" t="n">
        <v>167698</v>
      </c>
      <c r="L17" t="n">
        <v>143590</v>
      </c>
      <c r="M17" t="n">
        <v>147553</v>
      </c>
      <c r="N17" t="n">
        <v>141110</v>
      </c>
      <c r="O17" t="n">
        <v>155709</v>
      </c>
      <c r="P17" t="n">
        <v>36133</v>
      </c>
      <c r="Q17" t="n">
        <v>30890</v>
      </c>
      <c r="R17" t="n">
        <v>6897</v>
      </c>
      <c r="S17" t="n">
        <v>4</v>
      </c>
      <c r="T17" t="n">
        <v>21.8</v>
      </c>
      <c r="U17" t="n">
        <v>31</v>
      </c>
      <c r="V17" t="n">
        <v>30</v>
      </c>
      <c r="W17" t="n">
        <v>381458.3</v>
      </c>
      <c r="X17" t="n">
        <v>92438.5</v>
      </c>
      <c r="Y17" t="n">
        <v>906.9</v>
      </c>
      <c r="Z17" t="n">
        <v>353704</v>
      </c>
      <c r="AA17" t="n">
        <v>77990</v>
      </c>
      <c r="AB17" t="n">
        <v>471001</v>
      </c>
      <c r="AC17" t="n">
        <v>2225</v>
      </c>
      <c r="AD17" t="n">
        <v>0</v>
      </c>
      <c r="AE17" t="n">
        <v>88000</v>
      </c>
      <c r="AF17" t="n">
        <v>1</v>
      </c>
      <c r="AG17" t="n">
        <v>0</v>
      </c>
      <c r="AH17" t="n">
        <v>4</v>
      </c>
      <c r="AI17" t="n">
        <v>0</v>
      </c>
      <c r="AJ17" t="n">
        <v>0</v>
      </c>
      <c r="AK17" t="n">
        <v>0</v>
      </c>
      <c r="AL17" t="n">
        <v>13</v>
      </c>
      <c r="AM17" t="n">
        <v>4</v>
      </c>
      <c r="AN17" t="n">
        <v>0</v>
      </c>
      <c r="AO17" t="n">
        <v>0</v>
      </c>
      <c r="AP17" t="n">
        <v>1</v>
      </c>
      <c r="AQ17" t="n">
        <v>146</v>
      </c>
      <c r="AR17" t="n">
        <v>12</v>
      </c>
      <c r="AS17" t="n">
        <v>128</v>
      </c>
      <c r="AT17" s="3">
        <f>IFERROR(100*N17/L17,0)</f>
        <v/>
      </c>
      <c r="AU17" s="3">
        <f>IFERROR(100*N17/K17,0)</f>
        <v/>
      </c>
      <c r="AV17" s="3">
        <f>IFERROR(100*H17/F17,0)</f>
        <v/>
      </c>
      <c r="AW17" s="3">
        <f>IFERROR(100*N17/J17,0)</f>
        <v/>
      </c>
      <c r="AX17" s="3">
        <f>IFERROR(100*Q17/P17,0)</f>
        <v/>
      </c>
      <c r="AY17" s="3">
        <f>IFERROR(100*N17/O17,0)</f>
        <v/>
      </c>
      <c r="AZ17" s="3">
        <f>IFERROR(H17/S17,0)</f>
        <v/>
      </c>
      <c r="BA17" s="3">
        <f>IFERROR(T17/S17,0)</f>
        <v/>
      </c>
      <c r="BB17" s="3">
        <f>I17</f>
        <v/>
      </c>
      <c r="BC17" s="3">
        <f>R17</f>
        <v/>
      </c>
      <c r="BD17" s="3">
        <f>IFERROR(100*V17/U17,0)</f>
        <v/>
      </c>
      <c r="BE17" s="3">
        <f>IFERROR(1000*(W17+Y17)/N17,0)</f>
        <v/>
      </c>
      <c r="BF17" s="3">
        <f>W17</f>
        <v/>
      </c>
      <c r="BG17" s="3">
        <f>X17</f>
        <v/>
      </c>
      <c r="BH17" s="3">
        <f>Z17</f>
        <v/>
      </c>
      <c r="BI17" s="3">
        <f>AA17</f>
        <v/>
      </c>
      <c r="BJ17" s="3">
        <f>IFERROR(AB17/N17,0)</f>
        <v/>
      </c>
      <c r="BK17" s="3">
        <f>AC17</f>
        <v/>
      </c>
      <c r="BL17" s="3">
        <f>AD17</f>
        <v/>
      </c>
      <c r="BM17" s="3">
        <f>AP17</f>
        <v/>
      </c>
      <c r="BN17" s="3">
        <f>IFERROR(100*AR17/AQ17,0)</f>
        <v/>
      </c>
      <c r="BO17" s="3">
        <f>AK17</f>
        <v/>
      </c>
      <c r="BP17" s="3">
        <f>IFERROR(200000*AF17/AE17,0)</f>
        <v/>
      </c>
      <c r="BQ17" s="3">
        <f>AG17</f>
        <v/>
      </c>
      <c r="BR17" s="3">
        <f>AH17</f>
        <v/>
      </c>
      <c r="BS17" s="3">
        <f>AI17</f>
        <v/>
      </c>
      <c r="BT17" s="3">
        <f>AJ17</f>
        <v/>
      </c>
      <c r="BU17" s="3">
        <f>AL17</f>
        <v/>
      </c>
      <c r="BV17" s="3">
        <f>AM17</f>
        <v/>
      </c>
      <c r="BW17" s="3">
        <f>IF(AN17=0,100,100*AO17/AN17)</f>
        <v/>
      </c>
      <c r="BX17" s="3">
        <f>AS17</f>
        <v/>
      </c>
    </row>
    <row r="18">
      <c r="A18" t="inlineStr">
        <is>
          <t>Group</t>
        </is>
      </c>
      <c r="B18" t="inlineStr">
        <is>
          <t>Entity A1</t>
        </is>
      </c>
      <c r="C18" t="inlineStr">
        <is>
          <t>Plant 03</t>
        </is>
      </c>
      <c r="D18" t="inlineStr">
        <is>
          <t>2026-08</t>
        </is>
      </c>
      <c r="E18" t="n">
        <v>225.4</v>
      </c>
      <c r="F18" t="n">
        <v>744</v>
      </c>
      <c r="G18" t="n">
        <v>744</v>
      </c>
      <c r="H18" t="n">
        <v>711.9</v>
      </c>
      <c r="I18" t="n">
        <v>23.6</v>
      </c>
      <c r="J18" t="n">
        <v>167698</v>
      </c>
      <c r="K18" t="n">
        <v>167698</v>
      </c>
      <c r="L18" t="n">
        <v>151538</v>
      </c>
      <c r="M18" t="n">
        <v>142073</v>
      </c>
      <c r="N18" t="n">
        <v>138449</v>
      </c>
      <c r="O18" t="n">
        <v>150347</v>
      </c>
      <c r="P18" t="n">
        <v>34297</v>
      </c>
      <c r="Q18" t="n">
        <v>30571</v>
      </c>
      <c r="R18" t="n">
        <v>5319</v>
      </c>
      <c r="S18" t="n">
        <v>4</v>
      </c>
      <c r="T18" t="n">
        <v>21</v>
      </c>
      <c r="U18" t="n">
        <v>44</v>
      </c>
      <c r="V18" t="n">
        <v>44</v>
      </c>
      <c r="W18" t="n">
        <v>423777.7</v>
      </c>
      <c r="X18" t="n">
        <v>129686.6</v>
      </c>
      <c r="Y18" t="n">
        <v>1205.6</v>
      </c>
      <c r="Z18" t="n">
        <v>316694</v>
      </c>
      <c r="AA18" t="n">
        <v>99207</v>
      </c>
      <c r="AB18" t="n">
        <v>471761</v>
      </c>
      <c r="AC18" t="n">
        <v>13634</v>
      </c>
      <c r="AD18" t="n">
        <v>2</v>
      </c>
      <c r="AE18" t="n">
        <v>68000</v>
      </c>
      <c r="AF18" t="n">
        <v>1</v>
      </c>
      <c r="AG18" t="n">
        <v>0</v>
      </c>
      <c r="AH18" t="n">
        <v>8</v>
      </c>
      <c r="AI18" t="n">
        <v>0</v>
      </c>
      <c r="AJ18" t="n">
        <v>0</v>
      </c>
      <c r="AK18" t="n">
        <v>0</v>
      </c>
      <c r="AL18" t="n">
        <v>5</v>
      </c>
      <c r="AM18" t="n">
        <v>0</v>
      </c>
      <c r="AN18" t="n">
        <v>2</v>
      </c>
      <c r="AO18" t="n">
        <v>1</v>
      </c>
      <c r="AP18" t="n">
        <v>1</v>
      </c>
      <c r="AQ18" t="n">
        <v>123</v>
      </c>
      <c r="AR18" t="n">
        <v>4</v>
      </c>
      <c r="AS18" t="n">
        <v>98</v>
      </c>
      <c r="AT18" s="3">
        <f>IFERROR(100*N18/L18,0)</f>
        <v/>
      </c>
      <c r="AU18" s="3">
        <f>IFERROR(100*N18/K18,0)</f>
        <v/>
      </c>
      <c r="AV18" s="3">
        <f>IFERROR(100*H18/F18,0)</f>
        <v/>
      </c>
      <c r="AW18" s="3">
        <f>IFERROR(100*N18/J18,0)</f>
        <v/>
      </c>
      <c r="AX18" s="3">
        <f>IFERROR(100*Q18/P18,0)</f>
        <v/>
      </c>
      <c r="AY18" s="3">
        <f>IFERROR(100*N18/O18,0)</f>
        <v/>
      </c>
      <c r="AZ18" s="3">
        <f>IFERROR(H18/S18,0)</f>
        <v/>
      </c>
      <c r="BA18" s="3">
        <f>IFERROR(T18/S18,0)</f>
        <v/>
      </c>
      <c r="BB18" s="3">
        <f>I18</f>
        <v/>
      </c>
      <c r="BC18" s="3">
        <f>R18</f>
        <v/>
      </c>
      <c r="BD18" s="3">
        <f>IFERROR(100*V18/U18,0)</f>
        <v/>
      </c>
      <c r="BE18" s="3">
        <f>IFERROR(1000*(W18+Y18)/N18,0)</f>
        <v/>
      </c>
      <c r="BF18" s="3">
        <f>W18</f>
        <v/>
      </c>
      <c r="BG18" s="3">
        <f>X18</f>
        <v/>
      </c>
      <c r="BH18" s="3">
        <f>Z18</f>
        <v/>
      </c>
      <c r="BI18" s="3">
        <f>AA18</f>
        <v/>
      </c>
      <c r="BJ18" s="3">
        <f>IFERROR(AB18/N18,0)</f>
        <v/>
      </c>
      <c r="BK18" s="3">
        <f>AC18</f>
        <v/>
      </c>
      <c r="BL18" s="3">
        <f>AD18</f>
        <v/>
      </c>
      <c r="BM18" s="3">
        <f>AP18</f>
        <v/>
      </c>
      <c r="BN18" s="3">
        <f>IFERROR(100*AR18/AQ18,0)</f>
        <v/>
      </c>
      <c r="BO18" s="3">
        <f>AK18</f>
        <v/>
      </c>
      <c r="BP18" s="3">
        <f>IFERROR(200000*AF18/AE18,0)</f>
        <v/>
      </c>
      <c r="BQ18" s="3">
        <f>AG18</f>
        <v/>
      </c>
      <c r="BR18" s="3">
        <f>AH18</f>
        <v/>
      </c>
      <c r="BS18" s="3">
        <f>AI18</f>
        <v/>
      </c>
      <c r="BT18" s="3">
        <f>AJ18</f>
        <v/>
      </c>
      <c r="BU18" s="3">
        <f>AL18</f>
        <v/>
      </c>
      <c r="BV18" s="3">
        <f>AM18</f>
        <v/>
      </c>
      <c r="BW18" s="3">
        <f>IF(AN18=0,100,100*AO18/AN18)</f>
        <v/>
      </c>
      <c r="BX18" s="3">
        <f>AS18</f>
        <v/>
      </c>
    </row>
    <row r="19">
      <c r="A19" t="inlineStr">
        <is>
          <t>Group</t>
        </is>
      </c>
      <c r="B19" t="inlineStr">
        <is>
          <t>Entity A1</t>
        </is>
      </c>
      <c r="C19" t="inlineStr">
        <is>
          <t>Plant 03</t>
        </is>
      </c>
      <c r="D19" t="inlineStr">
        <is>
          <t>2026-09</t>
        </is>
      </c>
      <c r="E19" t="n">
        <v>225.4</v>
      </c>
      <c r="F19" t="n">
        <v>720</v>
      </c>
      <c r="G19" t="n">
        <v>719</v>
      </c>
      <c r="H19" t="n">
        <v>695.4</v>
      </c>
      <c r="I19" t="n">
        <v>12.3</v>
      </c>
      <c r="J19" t="n">
        <v>162063</v>
      </c>
      <c r="K19" t="n">
        <v>162288</v>
      </c>
      <c r="L19" t="n">
        <v>140379</v>
      </c>
      <c r="M19" t="n">
        <v>145600</v>
      </c>
      <c r="N19" t="n">
        <v>139711</v>
      </c>
      <c r="O19" t="n">
        <v>154604</v>
      </c>
      <c r="P19" t="n">
        <v>36789</v>
      </c>
      <c r="Q19" t="n">
        <v>31527</v>
      </c>
      <c r="R19" t="n">
        <v>2772</v>
      </c>
      <c r="S19" t="n">
        <v>2</v>
      </c>
      <c r="T19" t="n">
        <v>8.800000000000001</v>
      </c>
      <c r="U19" t="n">
        <v>58</v>
      </c>
      <c r="V19" t="n">
        <v>58</v>
      </c>
      <c r="W19" t="n">
        <v>365860.2</v>
      </c>
      <c r="X19" t="n">
        <v>97272</v>
      </c>
      <c r="Y19" t="n">
        <v>1454.1</v>
      </c>
      <c r="Z19" t="n">
        <v>346844</v>
      </c>
      <c r="AA19" t="n">
        <v>91566</v>
      </c>
      <c r="AB19" t="n">
        <v>496742</v>
      </c>
      <c r="AC19" t="n">
        <v>2939</v>
      </c>
      <c r="AD19" t="n">
        <v>1</v>
      </c>
      <c r="AE19" t="n">
        <v>69000</v>
      </c>
      <c r="AF19" t="n">
        <v>1</v>
      </c>
      <c r="AG19" t="n">
        <v>0</v>
      </c>
      <c r="AH19" t="n">
        <v>9</v>
      </c>
      <c r="AI19" t="n">
        <v>0</v>
      </c>
      <c r="AJ19" t="n">
        <v>0</v>
      </c>
      <c r="AK19" t="n">
        <v>0</v>
      </c>
      <c r="AL19" t="n">
        <v>8</v>
      </c>
      <c r="AM19" t="n">
        <v>2</v>
      </c>
      <c r="AN19" t="n">
        <v>0</v>
      </c>
      <c r="AO19" t="n">
        <v>0</v>
      </c>
      <c r="AP19" t="n">
        <v>1</v>
      </c>
      <c r="AQ19" t="n">
        <v>214</v>
      </c>
      <c r="AR19" t="n">
        <v>16</v>
      </c>
      <c r="AS19" t="n">
        <v>68</v>
      </c>
      <c r="AT19" s="3">
        <f>IFERROR(100*N19/L19,0)</f>
        <v/>
      </c>
      <c r="AU19" s="3">
        <f>IFERROR(100*N19/K19,0)</f>
        <v/>
      </c>
      <c r="AV19" s="3">
        <f>IFERROR(100*H19/F19,0)</f>
        <v/>
      </c>
      <c r="AW19" s="3">
        <f>IFERROR(100*N19/J19,0)</f>
        <v/>
      </c>
      <c r="AX19" s="3">
        <f>IFERROR(100*Q19/P19,0)</f>
        <v/>
      </c>
      <c r="AY19" s="3">
        <f>IFERROR(100*N19/O19,0)</f>
        <v/>
      </c>
      <c r="AZ19" s="3">
        <f>IFERROR(H19/S19,0)</f>
        <v/>
      </c>
      <c r="BA19" s="3">
        <f>IFERROR(T19/S19,0)</f>
        <v/>
      </c>
      <c r="BB19" s="3">
        <f>I19</f>
        <v/>
      </c>
      <c r="BC19" s="3">
        <f>R19</f>
        <v/>
      </c>
      <c r="BD19" s="3">
        <f>IFERROR(100*V19/U19,0)</f>
        <v/>
      </c>
      <c r="BE19" s="3">
        <f>IFERROR(1000*(W19+Y19)/N19,0)</f>
        <v/>
      </c>
      <c r="BF19" s="3">
        <f>W19</f>
        <v/>
      </c>
      <c r="BG19" s="3">
        <f>X19</f>
        <v/>
      </c>
      <c r="BH19" s="3">
        <f>Z19</f>
        <v/>
      </c>
      <c r="BI19" s="3">
        <f>AA19</f>
        <v/>
      </c>
      <c r="BJ19" s="3">
        <f>IFERROR(AB19/N19,0)</f>
        <v/>
      </c>
      <c r="BK19" s="3">
        <f>AC19</f>
        <v/>
      </c>
      <c r="BL19" s="3">
        <f>AD19</f>
        <v/>
      </c>
      <c r="BM19" s="3">
        <f>AP19</f>
        <v/>
      </c>
      <c r="BN19" s="3">
        <f>IFERROR(100*AR19/AQ19,0)</f>
        <v/>
      </c>
      <c r="BO19" s="3">
        <f>AK19</f>
        <v/>
      </c>
      <c r="BP19" s="3">
        <f>IFERROR(200000*AF19/AE19,0)</f>
        <v/>
      </c>
      <c r="BQ19" s="3">
        <f>AG19</f>
        <v/>
      </c>
      <c r="BR19" s="3">
        <f>AH19</f>
        <v/>
      </c>
      <c r="BS19" s="3">
        <f>AI19</f>
        <v/>
      </c>
      <c r="BT19" s="3">
        <f>AJ19</f>
        <v/>
      </c>
      <c r="BU19" s="3">
        <f>AL19</f>
        <v/>
      </c>
      <c r="BV19" s="3">
        <f>AM19</f>
        <v/>
      </c>
      <c r="BW19" s="3">
        <f>IF(AN19=0,100,100*AO19/AN19)</f>
        <v/>
      </c>
      <c r="BX19" s="3">
        <f>AS19</f>
        <v/>
      </c>
    </row>
    <row r="20">
      <c r="A20" t="inlineStr">
        <is>
          <t>Group</t>
        </is>
      </c>
      <c r="B20" t="inlineStr">
        <is>
          <t>Entity A2</t>
        </is>
      </c>
      <c r="C20" t="inlineStr">
        <is>
          <t>Plant 04</t>
        </is>
      </c>
      <c r="D20" t="inlineStr">
        <is>
          <t>2026-04</t>
        </is>
      </c>
      <c r="E20" t="n">
        <v>126.8</v>
      </c>
      <c r="F20" t="n">
        <v>720</v>
      </c>
      <c r="G20" t="n">
        <v>717</v>
      </c>
      <c r="H20" t="n">
        <v>688.4</v>
      </c>
      <c r="I20" t="n">
        <v>13.3</v>
      </c>
      <c r="J20" t="n">
        <v>90916</v>
      </c>
      <c r="K20" t="n">
        <v>91296</v>
      </c>
      <c r="L20" t="n">
        <v>79171</v>
      </c>
      <c r="M20" t="n">
        <v>79525</v>
      </c>
      <c r="N20" t="n">
        <v>77084</v>
      </c>
      <c r="O20" t="n">
        <v>83058</v>
      </c>
      <c r="P20" t="n">
        <v>18101</v>
      </c>
      <c r="Q20" t="n">
        <v>16015</v>
      </c>
      <c r="R20" t="n">
        <v>1686</v>
      </c>
      <c r="S20" t="n">
        <v>2</v>
      </c>
      <c r="T20" t="n">
        <v>6.8</v>
      </c>
      <c r="U20" t="n">
        <v>46</v>
      </c>
      <c r="V20" t="n">
        <v>43</v>
      </c>
      <c r="W20" t="n">
        <v>238202.9</v>
      </c>
      <c r="X20" t="n">
        <v>62768.6</v>
      </c>
      <c r="Y20" t="n">
        <v>1114.8</v>
      </c>
      <c r="Z20" t="n">
        <v>186852</v>
      </c>
      <c r="AA20" t="n">
        <v>47773</v>
      </c>
      <c r="AB20" t="n">
        <v>263207</v>
      </c>
      <c r="AC20" t="n">
        <v>29</v>
      </c>
      <c r="AD20" t="n">
        <v>0</v>
      </c>
      <c r="AE20" t="n">
        <v>82000</v>
      </c>
      <c r="AF20" t="n">
        <v>0</v>
      </c>
      <c r="AG20" t="n">
        <v>0</v>
      </c>
      <c r="AH20" t="n">
        <v>5</v>
      </c>
      <c r="AI20" t="n">
        <v>0</v>
      </c>
      <c r="AJ20" t="n">
        <v>0</v>
      </c>
      <c r="AK20" t="n">
        <v>0</v>
      </c>
      <c r="AL20" t="n">
        <v>14</v>
      </c>
      <c r="AM20" t="n">
        <v>4</v>
      </c>
      <c r="AN20" t="n">
        <v>2</v>
      </c>
      <c r="AO20" t="n">
        <v>1</v>
      </c>
      <c r="AP20" t="n">
        <v>2</v>
      </c>
      <c r="AQ20" t="n">
        <v>243</v>
      </c>
      <c r="AR20" t="n">
        <v>21</v>
      </c>
      <c r="AS20" t="n">
        <v>369</v>
      </c>
      <c r="AT20" s="3">
        <f>IFERROR(100*N20/L20,0)</f>
        <v/>
      </c>
      <c r="AU20" s="3">
        <f>IFERROR(100*N20/K20,0)</f>
        <v/>
      </c>
      <c r="AV20" s="3">
        <f>IFERROR(100*H20/F20,0)</f>
        <v/>
      </c>
      <c r="AW20" s="3">
        <f>IFERROR(100*N20/J20,0)</f>
        <v/>
      </c>
      <c r="AX20" s="3">
        <f>IFERROR(100*Q20/P20,0)</f>
        <v/>
      </c>
      <c r="AY20" s="3">
        <f>IFERROR(100*N20/O20,0)</f>
        <v/>
      </c>
      <c r="AZ20" s="3">
        <f>IFERROR(H20/S20,0)</f>
        <v/>
      </c>
      <c r="BA20" s="3">
        <f>IFERROR(T20/S20,0)</f>
        <v/>
      </c>
      <c r="BB20" s="3">
        <f>I20</f>
        <v/>
      </c>
      <c r="BC20" s="3">
        <f>R20</f>
        <v/>
      </c>
      <c r="BD20" s="3">
        <f>IFERROR(100*V20/U20,0)</f>
        <v/>
      </c>
      <c r="BE20" s="3">
        <f>IFERROR(1000*(W20+Y20)/N20,0)</f>
        <v/>
      </c>
      <c r="BF20" s="3">
        <f>W20</f>
        <v/>
      </c>
      <c r="BG20" s="3">
        <f>X20</f>
        <v/>
      </c>
      <c r="BH20" s="3">
        <f>Z20</f>
        <v/>
      </c>
      <c r="BI20" s="3">
        <f>AA20</f>
        <v/>
      </c>
      <c r="BJ20" s="3">
        <f>IFERROR(AB20/N20,0)</f>
        <v/>
      </c>
      <c r="BK20" s="3">
        <f>AC20</f>
        <v/>
      </c>
      <c r="BL20" s="3">
        <f>AD20</f>
        <v/>
      </c>
      <c r="BM20" s="3">
        <f>AP20</f>
        <v/>
      </c>
      <c r="BN20" s="3">
        <f>IFERROR(100*AR20/AQ20,0)</f>
        <v/>
      </c>
      <c r="BO20" s="3">
        <f>AK20</f>
        <v/>
      </c>
      <c r="BP20" s="3">
        <f>IFERROR(200000*AF20/AE20,0)</f>
        <v/>
      </c>
      <c r="BQ20" s="3">
        <f>AG20</f>
        <v/>
      </c>
      <c r="BR20" s="3">
        <f>AH20</f>
        <v/>
      </c>
      <c r="BS20" s="3">
        <f>AI20</f>
        <v/>
      </c>
      <c r="BT20" s="3">
        <f>AJ20</f>
        <v/>
      </c>
      <c r="BU20" s="3">
        <f>AL20</f>
        <v/>
      </c>
      <c r="BV20" s="3">
        <f>AM20</f>
        <v/>
      </c>
      <c r="BW20" s="3">
        <f>IF(AN20=0,100,100*AO20/AN20)</f>
        <v/>
      </c>
      <c r="BX20" s="3">
        <f>AS20</f>
        <v/>
      </c>
    </row>
    <row r="21">
      <c r="A21" t="inlineStr">
        <is>
          <t>Group</t>
        </is>
      </c>
      <c r="B21" t="inlineStr">
        <is>
          <t>Entity A2</t>
        </is>
      </c>
      <c r="C21" t="inlineStr">
        <is>
          <t>Plant 04</t>
        </is>
      </c>
      <c r="D21" t="inlineStr">
        <is>
          <t>2026-05</t>
        </is>
      </c>
      <c r="E21" t="n">
        <v>126.8</v>
      </c>
      <c r="F21" t="n">
        <v>744</v>
      </c>
      <c r="G21" t="n">
        <v>744</v>
      </c>
      <c r="H21" t="n">
        <v>690.2</v>
      </c>
      <c r="I21" t="n">
        <v>40.9</v>
      </c>
      <c r="J21" t="n">
        <v>94339</v>
      </c>
      <c r="K21" t="n">
        <v>94339</v>
      </c>
      <c r="L21" t="n">
        <v>84525</v>
      </c>
      <c r="M21" t="n">
        <v>77136</v>
      </c>
      <c r="N21" t="n">
        <v>76321</v>
      </c>
      <c r="O21" t="n">
        <v>83199</v>
      </c>
      <c r="P21" t="n">
        <v>16003</v>
      </c>
      <c r="Q21" t="n">
        <v>14046</v>
      </c>
      <c r="R21" t="n">
        <v>5186</v>
      </c>
      <c r="S21" t="n">
        <v>4</v>
      </c>
      <c r="T21" t="n">
        <v>31.1</v>
      </c>
      <c r="U21" t="n">
        <v>39</v>
      </c>
      <c r="V21" t="n">
        <v>39</v>
      </c>
      <c r="W21" t="n">
        <v>233996.7</v>
      </c>
      <c r="X21" t="n">
        <v>64991.9</v>
      </c>
      <c r="Y21" t="n">
        <v>1447.4</v>
      </c>
      <c r="Z21" t="n">
        <v>165220</v>
      </c>
      <c r="AA21" t="n">
        <v>55497</v>
      </c>
      <c r="AB21" t="n">
        <v>234243</v>
      </c>
      <c r="AC21" t="n">
        <v>10015</v>
      </c>
      <c r="AD21" t="n">
        <v>0</v>
      </c>
      <c r="AE21" t="n">
        <v>78000</v>
      </c>
      <c r="AF21" t="n">
        <v>2</v>
      </c>
      <c r="AG21" t="n">
        <v>0</v>
      </c>
      <c r="AH21" t="n">
        <v>8</v>
      </c>
      <c r="AI21" t="n">
        <v>0</v>
      </c>
      <c r="AJ21" t="n">
        <v>0</v>
      </c>
      <c r="AK21" t="n">
        <v>0</v>
      </c>
      <c r="AL21" t="n">
        <v>14</v>
      </c>
      <c r="AM21" t="n">
        <v>4</v>
      </c>
      <c r="AN21" t="n">
        <v>1</v>
      </c>
      <c r="AO21" t="n">
        <v>1</v>
      </c>
      <c r="AP21" t="n">
        <v>2</v>
      </c>
      <c r="AQ21" t="n">
        <v>142</v>
      </c>
      <c r="AR21" t="n">
        <v>12</v>
      </c>
      <c r="AS21" t="n">
        <v>339</v>
      </c>
      <c r="AT21" s="3">
        <f>IFERROR(100*N21/L21,0)</f>
        <v/>
      </c>
      <c r="AU21" s="3">
        <f>IFERROR(100*N21/K21,0)</f>
        <v/>
      </c>
      <c r="AV21" s="3">
        <f>IFERROR(100*H21/F21,0)</f>
        <v/>
      </c>
      <c r="AW21" s="3">
        <f>IFERROR(100*N21/J21,0)</f>
        <v/>
      </c>
      <c r="AX21" s="3">
        <f>IFERROR(100*Q21/P21,0)</f>
        <v/>
      </c>
      <c r="AY21" s="3">
        <f>IFERROR(100*N21/O21,0)</f>
        <v/>
      </c>
      <c r="AZ21" s="3">
        <f>IFERROR(H21/S21,0)</f>
        <v/>
      </c>
      <c r="BA21" s="3">
        <f>IFERROR(T21/S21,0)</f>
        <v/>
      </c>
      <c r="BB21" s="3">
        <f>I21</f>
        <v/>
      </c>
      <c r="BC21" s="3">
        <f>R21</f>
        <v/>
      </c>
      <c r="BD21" s="3">
        <f>IFERROR(100*V21/U21,0)</f>
        <v/>
      </c>
      <c r="BE21" s="3">
        <f>IFERROR(1000*(W21+Y21)/N21,0)</f>
        <v/>
      </c>
      <c r="BF21" s="3">
        <f>W21</f>
        <v/>
      </c>
      <c r="BG21" s="3">
        <f>X21</f>
        <v/>
      </c>
      <c r="BH21" s="3">
        <f>Z21</f>
        <v/>
      </c>
      <c r="BI21" s="3">
        <f>AA21</f>
        <v/>
      </c>
      <c r="BJ21" s="3">
        <f>IFERROR(AB21/N21,0)</f>
        <v/>
      </c>
      <c r="BK21" s="3">
        <f>AC21</f>
        <v/>
      </c>
      <c r="BL21" s="3">
        <f>AD21</f>
        <v/>
      </c>
      <c r="BM21" s="3">
        <f>AP21</f>
        <v/>
      </c>
      <c r="BN21" s="3">
        <f>IFERROR(100*AR21/AQ21,0)</f>
        <v/>
      </c>
      <c r="BO21" s="3">
        <f>AK21</f>
        <v/>
      </c>
      <c r="BP21" s="3">
        <f>IFERROR(200000*AF21/AE21,0)</f>
        <v/>
      </c>
      <c r="BQ21" s="3">
        <f>AG21</f>
        <v/>
      </c>
      <c r="BR21" s="3">
        <f>AH21</f>
        <v/>
      </c>
      <c r="BS21" s="3">
        <f>AI21</f>
        <v/>
      </c>
      <c r="BT21" s="3">
        <f>AJ21</f>
        <v/>
      </c>
      <c r="BU21" s="3">
        <f>AL21</f>
        <v/>
      </c>
      <c r="BV21" s="3">
        <f>AM21</f>
        <v/>
      </c>
      <c r="BW21" s="3">
        <f>IF(AN21=0,100,100*AO21/AN21)</f>
        <v/>
      </c>
      <c r="BX21" s="3">
        <f>AS21</f>
        <v/>
      </c>
    </row>
    <row r="22">
      <c r="A22" t="inlineStr">
        <is>
          <t>Group</t>
        </is>
      </c>
      <c r="B22" t="inlineStr">
        <is>
          <t>Entity A2</t>
        </is>
      </c>
      <c r="C22" t="inlineStr">
        <is>
          <t>Plant 04</t>
        </is>
      </c>
      <c r="D22" t="inlineStr">
        <is>
          <t>2026-06</t>
        </is>
      </c>
      <c r="E22" t="n">
        <v>126.8</v>
      </c>
      <c r="F22" t="n">
        <v>720</v>
      </c>
      <c r="G22" t="n">
        <v>715</v>
      </c>
      <c r="H22" t="n">
        <v>673.8</v>
      </c>
      <c r="I22" t="n">
        <v>33.6</v>
      </c>
      <c r="J22" t="n">
        <v>90662</v>
      </c>
      <c r="K22" t="n">
        <v>91296</v>
      </c>
      <c r="L22" t="n">
        <v>81891</v>
      </c>
      <c r="M22" t="n">
        <v>77095</v>
      </c>
      <c r="N22" t="n">
        <v>75177</v>
      </c>
      <c r="O22" t="n">
        <v>82906</v>
      </c>
      <c r="P22" t="n">
        <v>14930</v>
      </c>
      <c r="Q22" t="n">
        <v>13568</v>
      </c>
      <c r="R22" t="n">
        <v>4260</v>
      </c>
      <c r="S22" t="n">
        <v>3</v>
      </c>
      <c r="T22" t="n">
        <v>25.4</v>
      </c>
      <c r="U22" t="n">
        <v>57</v>
      </c>
      <c r="V22" t="n">
        <v>54</v>
      </c>
      <c r="W22" t="n">
        <v>245128.1</v>
      </c>
      <c r="X22" t="n">
        <v>77698.3</v>
      </c>
      <c r="Y22" t="n">
        <v>915.1</v>
      </c>
      <c r="Z22" t="n">
        <v>135852</v>
      </c>
      <c r="AA22" t="n">
        <v>41790</v>
      </c>
      <c r="AB22" t="n">
        <v>240232</v>
      </c>
      <c r="AC22" t="n">
        <v>6867</v>
      </c>
      <c r="AD22" t="n">
        <v>0</v>
      </c>
      <c r="AE22" t="n">
        <v>61000</v>
      </c>
      <c r="AF22" t="n">
        <v>0</v>
      </c>
      <c r="AG22" t="n">
        <v>0</v>
      </c>
      <c r="AH22" t="n">
        <v>11</v>
      </c>
      <c r="AI22" t="n">
        <v>0</v>
      </c>
      <c r="AJ22" t="n">
        <v>0</v>
      </c>
      <c r="AK22" t="n">
        <v>0</v>
      </c>
      <c r="AL22" t="n">
        <v>7</v>
      </c>
      <c r="AM22" t="n">
        <v>1</v>
      </c>
      <c r="AN22" t="n">
        <v>2</v>
      </c>
      <c r="AO22" t="n">
        <v>2</v>
      </c>
      <c r="AP22" t="n">
        <v>0</v>
      </c>
      <c r="AQ22" t="n">
        <v>162</v>
      </c>
      <c r="AR22" t="n">
        <v>12</v>
      </c>
      <c r="AS22" t="n">
        <v>309</v>
      </c>
      <c r="AT22" s="3">
        <f>IFERROR(100*N22/L22,0)</f>
        <v/>
      </c>
      <c r="AU22" s="3">
        <f>IFERROR(100*N22/K22,0)</f>
        <v/>
      </c>
      <c r="AV22" s="3">
        <f>IFERROR(100*H22/F22,0)</f>
        <v/>
      </c>
      <c r="AW22" s="3">
        <f>IFERROR(100*N22/J22,0)</f>
        <v/>
      </c>
      <c r="AX22" s="3">
        <f>IFERROR(100*Q22/P22,0)</f>
        <v/>
      </c>
      <c r="AY22" s="3">
        <f>IFERROR(100*N22/O22,0)</f>
        <v/>
      </c>
      <c r="AZ22" s="3">
        <f>IFERROR(H22/S22,0)</f>
        <v/>
      </c>
      <c r="BA22" s="3">
        <f>IFERROR(T22/S22,0)</f>
        <v/>
      </c>
      <c r="BB22" s="3">
        <f>I22</f>
        <v/>
      </c>
      <c r="BC22" s="3">
        <f>R22</f>
        <v/>
      </c>
      <c r="BD22" s="3">
        <f>IFERROR(100*V22/U22,0)</f>
        <v/>
      </c>
      <c r="BE22" s="3">
        <f>IFERROR(1000*(W22+Y22)/N22,0)</f>
        <v/>
      </c>
      <c r="BF22" s="3">
        <f>W22</f>
        <v/>
      </c>
      <c r="BG22" s="3">
        <f>X22</f>
        <v/>
      </c>
      <c r="BH22" s="3">
        <f>Z22</f>
        <v/>
      </c>
      <c r="BI22" s="3">
        <f>AA22</f>
        <v/>
      </c>
      <c r="BJ22" s="3">
        <f>IFERROR(AB22/N22,0)</f>
        <v/>
      </c>
      <c r="BK22" s="3">
        <f>AC22</f>
        <v/>
      </c>
      <c r="BL22" s="3">
        <f>AD22</f>
        <v/>
      </c>
      <c r="BM22" s="3">
        <f>AP22</f>
        <v/>
      </c>
      <c r="BN22" s="3">
        <f>IFERROR(100*AR22/AQ22,0)</f>
        <v/>
      </c>
      <c r="BO22" s="3">
        <f>AK22</f>
        <v/>
      </c>
      <c r="BP22" s="3">
        <f>IFERROR(200000*AF22/AE22,0)</f>
        <v/>
      </c>
      <c r="BQ22" s="3">
        <f>AG22</f>
        <v/>
      </c>
      <c r="BR22" s="3">
        <f>AH22</f>
        <v/>
      </c>
      <c r="BS22" s="3">
        <f>AI22</f>
        <v/>
      </c>
      <c r="BT22" s="3">
        <f>AJ22</f>
        <v/>
      </c>
      <c r="BU22" s="3">
        <f>AL22</f>
        <v/>
      </c>
      <c r="BV22" s="3">
        <f>AM22</f>
        <v/>
      </c>
      <c r="BW22" s="3">
        <f>IF(AN22=0,100,100*AO22/AN22)</f>
        <v/>
      </c>
      <c r="BX22" s="3">
        <f>AS22</f>
        <v/>
      </c>
    </row>
    <row r="23">
      <c r="A23" t="inlineStr">
        <is>
          <t>Group</t>
        </is>
      </c>
      <c r="B23" t="inlineStr">
        <is>
          <t>Entity A2</t>
        </is>
      </c>
      <c r="C23" t="inlineStr">
        <is>
          <t>Plant 04</t>
        </is>
      </c>
      <c r="D23" t="inlineStr">
        <is>
          <t>2026-07</t>
        </is>
      </c>
      <c r="E23" t="n">
        <v>126.8</v>
      </c>
      <c r="F23" t="n">
        <v>744</v>
      </c>
      <c r="G23" t="n">
        <v>741</v>
      </c>
      <c r="H23" t="n">
        <v>708.1</v>
      </c>
      <c r="I23" t="n">
        <v>22</v>
      </c>
      <c r="J23" t="n">
        <v>93959</v>
      </c>
      <c r="K23" t="n">
        <v>94339</v>
      </c>
      <c r="L23" t="n">
        <v>82701</v>
      </c>
      <c r="M23" t="n">
        <v>79759</v>
      </c>
      <c r="N23" t="n">
        <v>77695</v>
      </c>
      <c r="O23" t="n">
        <v>82058</v>
      </c>
      <c r="P23" t="n">
        <v>17436</v>
      </c>
      <c r="Q23" t="n">
        <v>14929</v>
      </c>
      <c r="R23" t="n">
        <v>2790</v>
      </c>
      <c r="S23" t="n">
        <v>4</v>
      </c>
      <c r="T23" t="n">
        <v>15.4</v>
      </c>
      <c r="U23" t="n">
        <v>51</v>
      </c>
      <c r="V23" t="n">
        <v>49</v>
      </c>
      <c r="W23" t="n">
        <v>257344</v>
      </c>
      <c r="X23" t="n">
        <v>81305.8</v>
      </c>
      <c r="Y23" t="n">
        <v>1342.1</v>
      </c>
      <c r="Z23" t="n">
        <v>154581</v>
      </c>
      <c r="AA23" t="n">
        <v>45272</v>
      </c>
      <c r="AB23" t="n">
        <v>243309</v>
      </c>
      <c r="AC23" t="n">
        <v>5005</v>
      </c>
      <c r="AD23" t="n">
        <v>1</v>
      </c>
      <c r="AE23" t="n">
        <v>62000</v>
      </c>
      <c r="AF23" t="n">
        <v>0</v>
      </c>
      <c r="AG23" t="n">
        <v>1</v>
      </c>
      <c r="AH23" t="n">
        <v>4</v>
      </c>
      <c r="AI23" t="n">
        <v>0</v>
      </c>
      <c r="AJ23" t="n">
        <v>1</v>
      </c>
      <c r="AK23" t="n">
        <v>0</v>
      </c>
      <c r="AL23" t="n">
        <v>13</v>
      </c>
      <c r="AM23" t="n">
        <v>2</v>
      </c>
      <c r="AN23" t="n">
        <v>0</v>
      </c>
      <c r="AO23" t="n">
        <v>0</v>
      </c>
      <c r="AP23" t="n">
        <v>1</v>
      </c>
      <c r="AQ23" t="n">
        <v>184</v>
      </c>
      <c r="AR23" t="n">
        <v>16</v>
      </c>
      <c r="AS23" t="n">
        <v>279</v>
      </c>
      <c r="AT23" s="3">
        <f>IFERROR(100*N23/L23,0)</f>
        <v/>
      </c>
      <c r="AU23" s="3">
        <f>IFERROR(100*N23/K23,0)</f>
        <v/>
      </c>
      <c r="AV23" s="3">
        <f>IFERROR(100*H23/F23,0)</f>
        <v/>
      </c>
      <c r="AW23" s="3">
        <f>IFERROR(100*N23/J23,0)</f>
        <v/>
      </c>
      <c r="AX23" s="3">
        <f>IFERROR(100*Q23/P23,0)</f>
        <v/>
      </c>
      <c r="AY23" s="3">
        <f>IFERROR(100*N23/O23,0)</f>
        <v/>
      </c>
      <c r="AZ23" s="3">
        <f>IFERROR(H23/S23,0)</f>
        <v/>
      </c>
      <c r="BA23" s="3">
        <f>IFERROR(T23/S23,0)</f>
        <v/>
      </c>
      <c r="BB23" s="3">
        <f>I23</f>
        <v/>
      </c>
      <c r="BC23" s="3">
        <f>R23</f>
        <v/>
      </c>
      <c r="BD23" s="3">
        <f>IFERROR(100*V23/U23,0)</f>
        <v/>
      </c>
      <c r="BE23" s="3">
        <f>IFERROR(1000*(W23+Y23)/N23,0)</f>
        <v/>
      </c>
      <c r="BF23" s="3">
        <f>W23</f>
        <v/>
      </c>
      <c r="BG23" s="3">
        <f>X23</f>
        <v/>
      </c>
      <c r="BH23" s="3">
        <f>Z23</f>
        <v/>
      </c>
      <c r="BI23" s="3">
        <f>AA23</f>
        <v/>
      </c>
      <c r="BJ23" s="3">
        <f>IFERROR(AB23/N23,0)</f>
        <v/>
      </c>
      <c r="BK23" s="3">
        <f>AC23</f>
        <v/>
      </c>
      <c r="BL23" s="3">
        <f>AD23</f>
        <v/>
      </c>
      <c r="BM23" s="3">
        <f>AP23</f>
        <v/>
      </c>
      <c r="BN23" s="3">
        <f>IFERROR(100*AR23/AQ23,0)</f>
        <v/>
      </c>
      <c r="BO23" s="3">
        <f>AK23</f>
        <v/>
      </c>
      <c r="BP23" s="3">
        <f>IFERROR(200000*AF23/AE23,0)</f>
        <v/>
      </c>
      <c r="BQ23" s="3">
        <f>AG23</f>
        <v/>
      </c>
      <c r="BR23" s="3">
        <f>AH23</f>
        <v/>
      </c>
      <c r="BS23" s="3">
        <f>AI23</f>
        <v/>
      </c>
      <c r="BT23" s="3">
        <f>AJ23</f>
        <v/>
      </c>
      <c r="BU23" s="3">
        <f>AL23</f>
        <v/>
      </c>
      <c r="BV23" s="3">
        <f>AM23</f>
        <v/>
      </c>
      <c r="BW23" s="3">
        <f>IF(AN23=0,100,100*AO23/AN23)</f>
        <v/>
      </c>
      <c r="BX23" s="3">
        <f>AS23</f>
        <v/>
      </c>
    </row>
    <row r="24">
      <c r="A24" t="inlineStr">
        <is>
          <t>Group</t>
        </is>
      </c>
      <c r="B24" t="inlineStr">
        <is>
          <t>Entity A2</t>
        </is>
      </c>
      <c r="C24" t="inlineStr">
        <is>
          <t>Plant 04</t>
        </is>
      </c>
      <c r="D24" t="inlineStr">
        <is>
          <t>2026-08</t>
        </is>
      </c>
      <c r="E24" t="n">
        <v>126.8</v>
      </c>
      <c r="F24" t="n">
        <v>744</v>
      </c>
      <c r="G24" t="n">
        <v>679</v>
      </c>
      <c r="H24" t="n">
        <v>649.4</v>
      </c>
      <c r="I24" t="n">
        <v>9.4</v>
      </c>
      <c r="J24" t="n">
        <v>86097</v>
      </c>
      <c r="K24" t="n">
        <v>94339</v>
      </c>
      <c r="L24" t="n">
        <v>76728</v>
      </c>
      <c r="M24" t="n">
        <v>78482</v>
      </c>
      <c r="N24" t="n">
        <v>77594</v>
      </c>
      <c r="O24" t="n">
        <v>84729</v>
      </c>
      <c r="P24" t="n">
        <v>18910</v>
      </c>
      <c r="Q24" t="n">
        <v>16857</v>
      </c>
      <c r="R24" t="n">
        <v>1192</v>
      </c>
      <c r="S24" t="n">
        <v>1</v>
      </c>
      <c r="T24" t="n">
        <v>4.1</v>
      </c>
      <c r="U24" t="n">
        <v>34</v>
      </c>
      <c r="V24" t="n">
        <v>33</v>
      </c>
      <c r="W24" t="n">
        <v>220843.7</v>
      </c>
      <c r="X24" t="n">
        <v>64490.9</v>
      </c>
      <c r="Y24" t="n">
        <v>1234.9</v>
      </c>
      <c r="Z24" t="n">
        <v>184195</v>
      </c>
      <c r="AA24" t="n">
        <v>53673</v>
      </c>
      <c r="AB24" t="n">
        <v>235582</v>
      </c>
      <c r="AC24" t="n">
        <v>806</v>
      </c>
      <c r="AD24" t="n">
        <v>0</v>
      </c>
      <c r="AE24" t="n">
        <v>70000</v>
      </c>
      <c r="AF24" t="n">
        <v>0</v>
      </c>
      <c r="AG24" t="n">
        <v>0</v>
      </c>
      <c r="AH24" t="n">
        <v>2</v>
      </c>
      <c r="AI24" t="n">
        <v>0</v>
      </c>
      <c r="AJ24" t="n">
        <v>1</v>
      </c>
      <c r="AK24" t="n">
        <v>0</v>
      </c>
      <c r="AL24" t="n">
        <v>12</v>
      </c>
      <c r="AM24" t="n">
        <v>1</v>
      </c>
      <c r="AN24" t="n">
        <v>2</v>
      </c>
      <c r="AO24" t="n">
        <v>2</v>
      </c>
      <c r="AP24" t="n">
        <v>2</v>
      </c>
      <c r="AQ24" t="n">
        <v>203</v>
      </c>
      <c r="AR24" t="n">
        <v>17</v>
      </c>
      <c r="AS24" t="n">
        <v>249</v>
      </c>
      <c r="AT24" s="3">
        <f>IFERROR(100*N24/L24,0)</f>
        <v/>
      </c>
      <c r="AU24" s="3">
        <f>IFERROR(100*N24/K24,0)</f>
        <v/>
      </c>
      <c r="AV24" s="3">
        <f>IFERROR(100*H24/F24,0)</f>
        <v/>
      </c>
      <c r="AW24" s="3">
        <f>IFERROR(100*N24/J24,0)</f>
        <v/>
      </c>
      <c r="AX24" s="3">
        <f>IFERROR(100*Q24/P24,0)</f>
        <v/>
      </c>
      <c r="AY24" s="3">
        <f>IFERROR(100*N24/O24,0)</f>
        <v/>
      </c>
      <c r="AZ24" s="3">
        <f>IFERROR(H24/S24,0)</f>
        <v/>
      </c>
      <c r="BA24" s="3">
        <f>IFERROR(T24/S24,0)</f>
        <v/>
      </c>
      <c r="BB24" s="3">
        <f>I24</f>
        <v/>
      </c>
      <c r="BC24" s="3">
        <f>R24</f>
        <v/>
      </c>
      <c r="BD24" s="3">
        <f>IFERROR(100*V24/U24,0)</f>
        <v/>
      </c>
      <c r="BE24" s="3">
        <f>IFERROR(1000*(W24+Y24)/N24,0)</f>
        <v/>
      </c>
      <c r="BF24" s="3">
        <f>W24</f>
        <v/>
      </c>
      <c r="BG24" s="3">
        <f>X24</f>
        <v/>
      </c>
      <c r="BH24" s="3">
        <f>Z24</f>
        <v/>
      </c>
      <c r="BI24" s="3">
        <f>AA24</f>
        <v/>
      </c>
      <c r="BJ24" s="3">
        <f>IFERROR(AB24/N24,0)</f>
        <v/>
      </c>
      <c r="BK24" s="3">
        <f>AC24</f>
        <v/>
      </c>
      <c r="BL24" s="3">
        <f>AD24</f>
        <v/>
      </c>
      <c r="BM24" s="3">
        <f>AP24</f>
        <v/>
      </c>
      <c r="BN24" s="3">
        <f>IFERROR(100*AR24/AQ24,0)</f>
        <v/>
      </c>
      <c r="BO24" s="3">
        <f>AK24</f>
        <v/>
      </c>
      <c r="BP24" s="3">
        <f>IFERROR(200000*AF24/AE24,0)</f>
        <v/>
      </c>
      <c r="BQ24" s="3">
        <f>AG24</f>
        <v/>
      </c>
      <c r="BR24" s="3">
        <f>AH24</f>
        <v/>
      </c>
      <c r="BS24" s="3">
        <f>AI24</f>
        <v/>
      </c>
      <c r="BT24" s="3">
        <f>AJ24</f>
        <v/>
      </c>
      <c r="BU24" s="3">
        <f>AL24</f>
        <v/>
      </c>
      <c r="BV24" s="3">
        <f>AM24</f>
        <v/>
      </c>
      <c r="BW24" s="3">
        <f>IF(AN24=0,100,100*AO24/AN24)</f>
        <v/>
      </c>
      <c r="BX24" s="3">
        <f>AS24</f>
        <v/>
      </c>
    </row>
    <row r="25">
      <c r="A25" t="inlineStr">
        <is>
          <t>Group</t>
        </is>
      </c>
      <c r="B25" t="inlineStr">
        <is>
          <t>Entity A2</t>
        </is>
      </c>
      <c r="C25" t="inlineStr">
        <is>
          <t>Plant 04</t>
        </is>
      </c>
      <c r="D25" t="inlineStr">
        <is>
          <t>2026-09</t>
        </is>
      </c>
      <c r="E25" t="n">
        <v>126.8</v>
      </c>
      <c r="F25" t="n">
        <v>720</v>
      </c>
      <c r="G25" t="n">
        <v>718</v>
      </c>
      <c r="H25" t="n">
        <v>690.6</v>
      </c>
      <c r="I25" t="n">
        <v>10.1</v>
      </c>
      <c r="J25" t="n">
        <v>91042</v>
      </c>
      <c r="K25" t="n">
        <v>91296</v>
      </c>
      <c r="L25" t="n">
        <v>79048</v>
      </c>
      <c r="M25" t="n">
        <v>83890</v>
      </c>
      <c r="N25" t="n">
        <v>81694</v>
      </c>
      <c r="O25" t="n">
        <v>90180</v>
      </c>
      <c r="P25" t="n">
        <v>20374</v>
      </c>
      <c r="Q25" t="n">
        <v>18005</v>
      </c>
      <c r="R25" t="n">
        <v>1281</v>
      </c>
      <c r="S25" t="n">
        <v>1</v>
      </c>
      <c r="T25" t="n">
        <v>6.8</v>
      </c>
      <c r="U25" t="n">
        <v>59</v>
      </c>
      <c r="V25" t="n">
        <v>59</v>
      </c>
      <c r="W25" t="n">
        <v>266460.1</v>
      </c>
      <c r="X25" t="n">
        <v>82640.2</v>
      </c>
      <c r="Y25" t="n">
        <v>1127.6</v>
      </c>
      <c r="Z25" t="n">
        <v>178267</v>
      </c>
      <c r="AA25" t="n">
        <v>58385</v>
      </c>
      <c r="AB25" t="n">
        <v>283879</v>
      </c>
      <c r="AC25" t="n">
        <v>0</v>
      </c>
      <c r="AD25" t="n">
        <v>0</v>
      </c>
      <c r="AE25" t="n">
        <v>57000</v>
      </c>
      <c r="AF25" t="n">
        <v>0</v>
      </c>
      <c r="AG25" t="n">
        <v>0</v>
      </c>
      <c r="AH25" t="n">
        <v>3</v>
      </c>
      <c r="AI25" t="n">
        <v>0</v>
      </c>
      <c r="AJ25" t="n">
        <v>1</v>
      </c>
      <c r="AK25" t="n">
        <v>0</v>
      </c>
      <c r="AL25" t="n">
        <v>6</v>
      </c>
      <c r="AM25" t="n">
        <v>1</v>
      </c>
      <c r="AN25" t="n">
        <v>0</v>
      </c>
      <c r="AO25" t="n">
        <v>0</v>
      </c>
      <c r="AP25" t="n">
        <v>0</v>
      </c>
      <c r="AQ25" t="n">
        <v>169</v>
      </c>
      <c r="AR25" t="n">
        <v>12</v>
      </c>
      <c r="AS25" t="n">
        <v>219</v>
      </c>
      <c r="AT25" s="3">
        <f>IFERROR(100*N25/L25,0)</f>
        <v/>
      </c>
      <c r="AU25" s="3">
        <f>IFERROR(100*N25/K25,0)</f>
        <v/>
      </c>
      <c r="AV25" s="3">
        <f>IFERROR(100*H25/F25,0)</f>
        <v/>
      </c>
      <c r="AW25" s="3">
        <f>IFERROR(100*N25/J25,0)</f>
        <v/>
      </c>
      <c r="AX25" s="3">
        <f>IFERROR(100*Q25/P25,0)</f>
        <v/>
      </c>
      <c r="AY25" s="3">
        <f>IFERROR(100*N25/O25,0)</f>
        <v/>
      </c>
      <c r="AZ25" s="3">
        <f>IFERROR(H25/S25,0)</f>
        <v/>
      </c>
      <c r="BA25" s="3">
        <f>IFERROR(T25/S25,0)</f>
        <v/>
      </c>
      <c r="BB25" s="3">
        <f>I25</f>
        <v/>
      </c>
      <c r="BC25" s="3">
        <f>R25</f>
        <v/>
      </c>
      <c r="BD25" s="3">
        <f>IFERROR(100*V25/U25,0)</f>
        <v/>
      </c>
      <c r="BE25" s="3">
        <f>IFERROR(1000*(W25+Y25)/N25,0)</f>
        <v/>
      </c>
      <c r="BF25" s="3">
        <f>W25</f>
        <v/>
      </c>
      <c r="BG25" s="3">
        <f>X25</f>
        <v/>
      </c>
      <c r="BH25" s="3">
        <f>Z25</f>
        <v/>
      </c>
      <c r="BI25" s="3">
        <f>AA25</f>
        <v/>
      </c>
      <c r="BJ25" s="3">
        <f>IFERROR(AB25/N25,0)</f>
        <v/>
      </c>
      <c r="BK25" s="3">
        <f>AC25</f>
        <v/>
      </c>
      <c r="BL25" s="3">
        <f>AD25</f>
        <v/>
      </c>
      <c r="BM25" s="3">
        <f>AP25</f>
        <v/>
      </c>
      <c r="BN25" s="3">
        <f>IFERROR(100*AR25/AQ25,0)</f>
        <v/>
      </c>
      <c r="BO25" s="3">
        <f>AK25</f>
        <v/>
      </c>
      <c r="BP25" s="3">
        <f>IFERROR(200000*AF25/AE25,0)</f>
        <v/>
      </c>
      <c r="BQ25" s="3">
        <f>AG25</f>
        <v/>
      </c>
      <c r="BR25" s="3">
        <f>AH25</f>
        <v/>
      </c>
      <c r="BS25" s="3">
        <f>AI25</f>
        <v/>
      </c>
      <c r="BT25" s="3">
        <f>AJ25</f>
        <v/>
      </c>
      <c r="BU25" s="3">
        <f>AL25</f>
        <v/>
      </c>
      <c r="BV25" s="3">
        <f>AM25</f>
        <v/>
      </c>
      <c r="BW25" s="3">
        <f>IF(AN25=0,100,100*AO25/AN25)</f>
        <v/>
      </c>
      <c r="BX25" s="3">
        <f>AS25</f>
        <v/>
      </c>
    </row>
    <row r="26">
      <c r="A26" t="inlineStr">
        <is>
          <t>Group</t>
        </is>
      </c>
      <c r="B26" t="inlineStr">
        <is>
          <t>Entity A2</t>
        </is>
      </c>
      <c r="C26" t="inlineStr">
        <is>
          <t>Plant 05</t>
        </is>
      </c>
      <c r="D26" t="inlineStr">
        <is>
          <t>2026-04</t>
        </is>
      </c>
      <c r="E26" t="n">
        <v>205</v>
      </c>
      <c r="F26" t="n">
        <v>720</v>
      </c>
      <c r="G26" t="n">
        <v>710</v>
      </c>
      <c r="H26" t="n">
        <v>684.5</v>
      </c>
      <c r="I26" t="n">
        <v>17</v>
      </c>
      <c r="J26" t="n">
        <v>145550</v>
      </c>
      <c r="K26" t="n">
        <v>147600</v>
      </c>
      <c r="L26" t="n">
        <v>129763</v>
      </c>
      <c r="M26" t="n">
        <v>135746</v>
      </c>
      <c r="N26" t="n">
        <v>129454</v>
      </c>
      <c r="O26" t="n">
        <v>144929</v>
      </c>
      <c r="P26" t="n">
        <v>32992</v>
      </c>
      <c r="Q26" t="n">
        <v>28916</v>
      </c>
      <c r="R26" t="n">
        <v>3485</v>
      </c>
      <c r="S26" t="n">
        <v>2</v>
      </c>
      <c r="T26" t="n">
        <v>13.9</v>
      </c>
      <c r="U26" t="n">
        <v>52</v>
      </c>
      <c r="V26" t="n">
        <v>48</v>
      </c>
      <c r="W26" t="n">
        <v>435077.3</v>
      </c>
      <c r="X26" t="n">
        <v>128779.7</v>
      </c>
      <c r="Y26" t="n">
        <v>1262.8</v>
      </c>
      <c r="Z26" t="n">
        <v>292639</v>
      </c>
      <c r="AA26" t="n">
        <v>86136</v>
      </c>
      <c r="AB26" t="n">
        <v>447791</v>
      </c>
      <c r="AC26" t="n">
        <v>2659</v>
      </c>
      <c r="AD26" t="n">
        <v>2</v>
      </c>
      <c r="AE26" t="n">
        <v>88000</v>
      </c>
      <c r="AF26" t="n">
        <v>2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12</v>
      </c>
      <c r="AM26" t="n">
        <v>0</v>
      </c>
      <c r="AN26" t="n">
        <v>1</v>
      </c>
      <c r="AO26" t="n">
        <v>0</v>
      </c>
      <c r="AP26" t="n">
        <v>0</v>
      </c>
      <c r="AQ26" t="n">
        <v>134</v>
      </c>
      <c r="AR26" t="n">
        <v>10</v>
      </c>
      <c r="AS26" t="n">
        <v>252</v>
      </c>
      <c r="AT26" s="3">
        <f>IFERROR(100*N26/L26,0)</f>
        <v/>
      </c>
      <c r="AU26" s="3">
        <f>IFERROR(100*N26/K26,0)</f>
        <v/>
      </c>
      <c r="AV26" s="3">
        <f>IFERROR(100*H26/F26,0)</f>
        <v/>
      </c>
      <c r="AW26" s="3">
        <f>IFERROR(100*N26/J26,0)</f>
        <v/>
      </c>
      <c r="AX26" s="3">
        <f>IFERROR(100*Q26/P26,0)</f>
        <v/>
      </c>
      <c r="AY26" s="3">
        <f>IFERROR(100*N26/O26,0)</f>
        <v/>
      </c>
      <c r="AZ26" s="3">
        <f>IFERROR(H26/S26,0)</f>
        <v/>
      </c>
      <c r="BA26" s="3">
        <f>IFERROR(T26/S26,0)</f>
        <v/>
      </c>
      <c r="BB26" s="3">
        <f>I26</f>
        <v/>
      </c>
      <c r="BC26" s="3">
        <f>R26</f>
        <v/>
      </c>
      <c r="BD26" s="3">
        <f>IFERROR(100*V26/U26,0)</f>
        <v/>
      </c>
      <c r="BE26" s="3">
        <f>IFERROR(1000*(W26+Y26)/N26,0)</f>
        <v/>
      </c>
      <c r="BF26" s="3">
        <f>W26</f>
        <v/>
      </c>
      <c r="BG26" s="3">
        <f>X26</f>
        <v/>
      </c>
      <c r="BH26" s="3">
        <f>Z26</f>
        <v/>
      </c>
      <c r="BI26" s="3">
        <f>AA26</f>
        <v/>
      </c>
      <c r="BJ26" s="3">
        <f>IFERROR(AB26/N26,0)</f>
        <v/>
      </c>
      <c r="BK26" s="3">
        <f>AC26</f>
        <v/>
      </c>
      <c r="BL26" s="3">
        <f>AD26</f>
        <v/>
      </c>
      <c r="BM26" s="3">
        <f>AP26</f>
        <v/>
      </c>
      <c r="BN26" s="3">
        <f>IFERROR(100*AR26/AQ26,0)</f>
        <v/>
      </c>
      <c r="BO26" s="3">
        <f>AK26</f>
        <v/>
      </c>
      <c r="BP26" s="3">
        <f>IFERROR(200000*AF26/AE26,0)</f>
        <v/>
      </c>
      <c r="BQ26" s="3">
        <f>AG26</f>
        <v/>
      </c>
      <c r="BR26" s="3">
        <f>AH26</f>
        <v/>
      </c>
      <c r="BS26" s="3">
        <f>AI26</f>
        <v/>
      </c>
      <c r="BT26" s="3">
        <f>AJ26</f>
        <v/>
      </c>
      <c r="BU26" s="3">
        <f>AL26</f>
        <v/>
      </c>
      <c r="BV26" s="3">
        <f>AM26</f>
        <v/>
      </c>
      <c r="BW26" s="3">
        <f>IF(AN26=0,100,100*AO26/AN26)</f>
        <v/>
      </c>
      <c r="BX26" s="3">
        <f>AS26</f>
        <v/>
      </c>
    </row>
    <row r="27">
      <c r="A27" t="inlineStr">
        <is>
          <t>Group</t>
        </is>
      </c>
      <c r="B27" t="inlineStr">
        <is>
          <t>Entity A2</t>
        </is>
      </c>
      <c r="C27" t="inlineStr">
        <is>
          <t>Plant 05</t>
        </is>
      </c>
      <c r="D27" t="inlineStr">
        <is>
          <t>2026-05</t>
        </is>
      </c>
      <c r="E27" t="n">
        <v>205</v>
      </c>
      <c r="F27" t="n">
        <v>744</v>
      </c>
      <c r="G27" t="n">
        <v>674</v>
      </c>
      <c r="H27" t="n">
        <v>642.5</v>
      </c>
      <c r="I27" t="n">
        <v>18.2</v>
      </c>
      <c r="J27" t="n">
        <v>138170</v>
      </c>
      <c r="K27" t="n">
        <v>152520</v>
      </c>
      <c r="L27" t="n">
        <v>121141</v>
      </c>
      <c r="M27" t="n">
        <v>127057</v>
      </c>
      <c r="N27" t="n">
        <v>121753</v>
      </c>
      <c r="O27" t="n">
        <v>132003</v>
      </c>
      <c r="P27" t="n">
        <v>24602</v>
      </c>
      <c r="Q27" t="n">
        <v>21013</v>
      </c>
      <c r="R27" t="n">
        <v>3731</v>
      </c>
      <c r="S27" t="n">
        <v>2</v>
      </c>
      <c r="T27" t="n">
        <v>9.300000000000001</v>
      </c>
      <c r="U27" t="n">
        <v>39</v>
      </c>
      <c r="V27" t="n">
        <v>36</v>
      </c>
      <c r="W27" t="n">
        <v>362340.8</v>
      </c>
      <c r="X27" t="n">
        <v>89550</v>
      </c>
      <c r="Y27" t="n">
        <v>1517.5</v>
      </c>
      <c r="Z27" t="n">
        <v>244417</v>
      </c>
      <c r="AA27" t="n">
        <v>74247</v>
      </c>
      <c r="AB27" t="n">
        <v>353899</v>
      </c>
      <c r="AC27" t="n">
        <v>0</v>
      </c>
      <c r="AD27" t="n">
        <v>0</v>
      </c>
      <c r="AE27" t="n">
        <v>79000</v>
      </c>
      <c r="AF27" t="n">
        <v>0</v>
      </c>
      <c r="AG27" t="n">
        <v>0</v>
      </c>
      <c r="AH27" t="n">
        <v>12</v>
      </c>
      <c r="AI27" t="n">
        <v>0</v>
      </c>
      <c r="AJ27" t="n">
        <v>0</v>
      </c>
      <c r="AK27" t="n">
        <v>0</v>
      </c>
      <c r="AL27" t="n">
        <v>12</v>
      </c>
      <c r="AM27" t="n">
        <v>3</v>
      </c>
      <c r="AN27" t="n">
        <v>2</v>
      </c>
      <c r="AO27" t="n">
        <v>2</v>
      </c>
      <c r="AP27" t="n">
        <v>1</v>
      </c>
      <c r="AQ27" t="n">
        <v>149</v>
      </c>
      <c r="AR27" t="n">
        <v>12</v>
      </c>
      <c r="AS27" t="n">
        <v>222</v>
      </c>
      <c r="AT27" s="3">
        <f>IFERROR(100*N27/L27,0)</f>
        <v/>
      </c>
      <c r="AU27" s="3">
        <f>IFERROR(100*N27/K27,0)</f>
        <v/>
      </c>
      <c r="AV27" s="3">
        <f>IFERROR(100*H27/F27,0)</f>
        <v/>
      </c>
      <c r="AW27" s="3">
        <f>IFERROR(100*N27/J27,0)</f>
        <v/>
      </c>
      <c r="AX27" s="3">
        <f>IFERROR(100*Q27/P27,0)</f>
        <v/>
      </c>
      <c r="AY27" s="3">
        <f>IFERROR(100*N27/O27,0)</f>
        <v/>
      </c>
      <c r="AZ27" s="3">
        <f>IFERROR(H27/S27,0)</f>
        <v/>
      </c>
      <c r="BA27" s="3">
        <f>IFERROR(T27/S27,0)</f>
        <v/>
      </c>
      <c r="BB27" s="3">
        <f>I27</f>
        <v/>
      </c>
      <c r="BC27" s="3">
        <f>R27</f>
        <v/>
      </c>
      <c r="BD27" s="3">
        <f>IFERROR(100*V27/U27,0)</f>
        <v/>
      </c>
      <c r="BE27" s="3">
        <f>IFERROR(1000*(W27+Y27)/N27,0)</f>
        <v/>
      </c>
      <c r="BF27" s="3">
        <f>W27</f>
        <v/>
      </c>
      <c r="BG27" s="3">
        <f>X27</f>
        <v/>
      </c>
      <c r="BH27" s="3">
        <f>Z27</f>
        <v/>
      </c>
      <c r="BI27" s="3">
        <f>AA27</f>
        <v/>
      </c>
      <c r="BJ27" s="3">
        <f>IFERROR(AB27/N27,0)</f>
        <v/>
      </c>
      <c r="BK27" s="3">
        <f>AC27</f>
        <v/>
      </c>
      <c r="BL27" s="3">
        <f>AD27</f>
        <v/>
      </c>
      <c r="BM27" s="3">
        <f>AP27</f>
        <v/>
      </c>
      <c r="BN27" s="3">
        <f>IFERROR(100*AR27/AQ27,0)</f>
        <v/>
      </c>
      <c r="BO27" s="3">
        <f>AK27</f>
        <v/>
      </c>
      <c r="BP27" s="3">
        <f>IFERROR(200000*AF27/AE27,0)</f>
        <v/>
      </c>
      <c r="BQ27" s="3">
        <f>AG27</f>
        <v/>
      </c>
      <c r="BR27" s="3">
        <f>AH27</f>
        <v/>
      </c>
      <c r="BS27" s="3">
        <f>AI27</f>
        <v/>
      </c>
      <c r="BT27" s="3">
        <f>AJ27</f>
        <v/>
      </c>
      <c r="BU27" s="3">
        <f>AL27</f>
        <v/>
      </c>
      <c r="BV27" s="3">
        <f>AM27</f>
        <v/>
      </c>
      <c r="BW27" s="3">
        <f>IF(AN27=0,100,100*AO27/AN27)</f>
        <v/>
      </c>
      <c r="BX27" s="3">
        <f>AS27</f>
        <v/>
      </c>
    </row>
    <row r="28">
      <c r="A28" t="inlineStr">
        <is>
          <t>Group</t>
        </is>
      </c>
      <c r="B28" t="inlineStr">
        <is>
          <t>Entity A2</t>
        </is>
      </c>
      <c r="C28" t="inlineStr">
        <is>
          <t>Plant 05</t>
        </is>
      </c>
      <c r="D28" t="inlineStr">
        <is>
          <t>2026-06</t>
        </is>
      </c>
      <c r="E28" t="n">
        <v>205</v>
      </c>
      <c r="F28" t="n">
        <v>720</v>
      </c>
      <c r="G28" t="n">
        <v>713</v>
      </c>
      <c r="H28" t="n">
        <v>680.7</v>
      </c>
      <c r="I28" t="n">
        <v>15.1</v>
      </c>
      <c r="J28" t="n">
        <v>146165</v>
      </c>
      <c r="K28" t="n">
        <v>147600</v>
      </c>
      <c r="L28" t="n">
        <v>131151</v>
      </c>
      <c r="M28" t="n">
        <v>125961</v>
      </c>
      <c r="N28" t="n">
        <v>123027</v>
      </c>
      <c r="O28" t="n">
        <v>137718</v>
      </c>
      <c r="P28" t="n">
        <v>26078</v>
      </c>
      <c r="Q28" t="n">
        <v>23615</v>
      </c>
      <c r="R28" t="n">
        <v>3096</v>
      </c>
      <c r="S28" t="n">
        <v>3</v>
      </c>
      <c r="T28" t="n">
        <v>12</v>
      </c>
      <c r="U28" t="n">
        <v>38</v>
      </c>
      <c r="V28" t="n">
        <v>37</v>
      </c>
      <c r="W28" t="n">
        <v>411518.7</v>
      </c>
      <c r="X28" t="n">
        <v>126359</v>
      </c>
      <c r="Y28" t="n">
        <v>1457</v>
      </c>
      <c r="Z28" t="n">
        <v>277551</v>
      </c>
      <c r="AA28" t="n">
        <v>89682</v>
      </c>
      <c r="AB28" t="n">
        <v>432290</v>
      </c>
      <c r="AC28" t="n">
        <v>11194</v>
      </c>
      <c r="AD28" t="n">
        <v>2</v>
      </c>
      <c r="AE28" t="n">
        <v>64000</v>
      </c>
      <c r="AF28" t="n">
        <v>2</v>
      </c>
      <c r="AG28" t="n">
        <v>0</v>
      </c>
      <c r="AH28" t="n">
        <v>6</v>
      </c>
      <c r="AI28" t="n">
        <v>0</v>
      </c>
      <c r="AJ28" t="n">
        <v>0</v>
      </c>
      <c r="AK28" t="n">
        <v>1</v>
      </c>
      <c r="AL28" t="n">
        <v>3</v>
      </c>
      <c r="AM28" t="n">
        <v>1</v>
      </c>
      <c r="AN28" t="n">
        <v>0</v>
      </c>
      <c r="AO28" t="n">
        <v>0</v>
      </c>
      <c r="AP28" t="n">
        <v>0</v>
      </c>
      <c r="AQ28" t="n">
        <v>249</v>
      </c>
      <c r="AR28" t="n">
        <v>18</v>
      </c>
      <c r="AS28" t="n">
        <v>192</v>
      </c>
      <c r="AT28" s="3">
        <f>IFERROR(100*N28/L28,0)</f>
        <v/>
      </c>
      <c r="AU28" s="3">
        <f>IFERROR(100*N28/K28,0)</f>
        <v/>
      </c>
      <c r="AV28" s="3">
        <f>IFERROR(100*H28/F28,0)</f>
        <v/>
      </c>
      <c r="AW28" s="3">
        <f>IFERROR(100*N28/J28,0)</f>
        <v/>
      </c>
      <c r="AX28" s="3">
        <f>IFERROR(100*Q28/P28,0)</f>
        <v/>
      </c>
      <c r="AY28" s="3">
        <f>IFERROR(100*N28/O28,0)</f>
        <v/>
      </c>
      <c r="AZ28" s="3">
        <f>IFERROR(H28/S28,0)</f>
        <v/>
      </c>
      <c r="BA28" s="3">
        <f>IFERROR(T28/S28,0)</f>
        <v/>
      </c>
      <c r="BB28" s="3">
        <f>I28</f>
        <v/>
      </c>
      <c r="BC28" s="3">
        <f>R28</f>
        <v/>
      </c>
      <c r="BD28" s="3">
        <f>IFERROR(100*V28/U28,0)</f>
        <v/>
      </c>
      <c r="BE28" s="3">
        <f>IFERROR(1000*(W28+Y28)/N28,0)</f>
        <v/>
      </c>
      <c r="BF28" s="3">
        <f>W28</f>
        <v/>
      </c>
      <c r="BG28" s="3">
        <f>X28</f>
        <v/>
      </c>
      <c r="BH28" s="3">
        <f>Z28</f>
        <v/>
      </c>
      <c r="BI28" s="3">
        <f>AA28</f>
        <v/>
      </c>
      <c r="BJ28" s="3">
        <f>IFERROR(AB28/N28,0)</f>
        <v/>
      </c>
      <c r="BK28" s="3">
        <f>AC28</f>
        <v/>
      </c>
      <c r="BL28" s="3">
        <f>AD28</f>
        <v/>
      </c>
      <c r="BM28" s="3">
        <f>AP28</f>
        <v/>
      </c>
      <c r="BN28" s="3">
        <f>IFERROR(100*AR28/AQ28,0)</f>
        <v/>
      </c>
      <c r="BO28" s="3">
        <f>AK28</f>
        <v/>
      </c>
      <c r="BP28" s="3">
        <f>IFERROR(200000*AF28/AE28,0)</f>
        <v/>
      </c>
      <c r="BQ28" s="3">
        <f>AG28</f>
        <v/>
      </c>
      <c r="BR28" s="3">
        <f>AH28</f>
        <v/>
      </c>
      <c r="BS28" s="3">
        <f>AI28</f>
        <v/>
      </c>
      <c r="BT28" s="3">
        <f>AJ28</f>
        <v/>
      </c>
      <c r="BU28" s="3">
        <f>AL28</f>
        <v/>
      </c>
      <c r="BV28" s="3">
        <f>AM28</f>
        <v/>
      </c>
      <c r="BW28" s="3">
        <f>IF(AN28=0,100,100*AO28/AN28)</f>
        <v/>
      </c>
      <c r="BX28" s="3">
        <f>AS28</f>
        <v/>
      </c>
    </row>
    <row r="29">
      <c r="A29" t="inlineStr">
        <is>
          <t>Group</t>
        </is>
      </c>
      <c r="B29" t="inlineStr">
        <is>
          <t>Entity A2</t>
        </is>
      </c>
      <c r="C29" t="inlineStr">
        <is>
          <t>Plant 05</t>
        </is>
      </c>
      <c r="D29" t="inlineStr">
        <is>
          <t>2026-07</t>
        </is>
      </c>
      <c r="E29" t="n">
        <v>205</v>
      </c>
      <c r="F29" t="n">
        <v>744</v>
      </c>
      <c r="G29" t="n">
        <v>744</v>
      </c>
      <c r="H29" t="n">
        <v>715.3</v>
      </c>
      <c r="I29" t="n">
        <v>13.1</v>
      </c>
      <c r="J29" t="n">
        <v>152520</v>
      </c>
      <c r="K29" t="n">
        <v>152520</v>
      </c>
      <c r="L29" t="n">
        <v>137952</v>
      </c>
      <c r="M29" t="n">
        <v>141931</v>
      </c>
      <c r="N29" t="n">
        <v>136982</v>
      </c>
      <c r="O29" t="n">
        <v>145102</v>
      </c>
      <c r="P29" t="n">
        <v>29563</v>
      </c>
      <c r="Q29" t="n">
        <v>26355</v>
      </c>
      <c r="R29" t="n">
        <v>2686</v>
      </c>
      <c r="S29" t="n">
        <v>1</v>
      </c>
      <c r="T29" t="n">
        <v>6</v>
      </c>
      <c r="U29" t="n">
        <v>58</v>
      </c>
      <c r="V29" t="n">
        <v>57</v>
      </c>
      <c r="W29" t="n">
        <v>444075.7</v>
      </c>
      <c r="X29" t="n">
        <v>131632.2</v>
      </c>
      <c r="Y29" t="n">
        <v>1411.4</v>
      </c>
      <c r="Z29" t="n">
        <v>285264</v>
      </c>
      <c r="AA29" t="n">
        <v>93285</v>
      </c>
      <c r="AB29" t="n">
        <v>457581</v>
      </c>
      <c r="AC29" t="n">
        <v>1175</v>
      </c>
      <c r="AD29" t="n">
        <v>0</v>
      </c>
      <c r="AE29" t="n">
        <v>65000</v>
      </c>
      <c r="AF29" t="n">
        <v>1</v>
      </c>
      <c r="AG29" t="n">
        <v>0</v>
      </c>
      <c r="AH29" t="n">
        <v>3</v>
      </c>
      <c r="AI29" t="n">
        <v>0</v>
      </c>
      <c r="AJ29" t="n">
        <v>0</v>
      </c>
      <c r="AK29" t="n">
        <v>0</v>
      </c>
      <c r="AL29" t="n">
        <v>14</v>
      </c>
      <c r="AM29" t="n">
        <v>4</v>
      </c>
      <c r="AN29" t="n">
        <v>0</v>
      </c>
      <c r="AO29" t="n">
        <v>0</v>
      </c>
      <c r="AP29" t="n">
        <v>1</v>
      </c>
      <c r="AQ29" t="n">
        <v>167</v>
      </c>
      <c r="AR29" t="n">
        <v>14</v>
      </c>
      <c r="AS29" t="n">
        <v>162</v>
      </c>
      <c r="AT29" s="3">
        <f>IFERROR(100*N29/L29,0)</f>
        <v/>
      </c>
      <c r="AU29" s="3">
        <f>IFERROR(100*N29/K29,0)</f>
        <v/>
      </c>
      <c r="AV29" s="3">
        <f>IFERROR(100*H29/F29,0)</f>
        <v/>
      </c>
      <c r="AW29" s="3">
        <f>IFERROR(100*N29/J29,0)</f>
        <v/>
      </c>
      <c r="AX29" s="3">
        <f>IFERROR(100*Q29/P29,0)</f>
        <v/>
      </c>
      <c r="AY29" s="3">
        <f>IFERROR(100*N29/O29,0)</f>
        <v/>
      </c>
      <c r="AZ29" s="3">
        <f>IFERROR(H29/S29,0)</f>
        <v/>
      </c>
      <c r="BA29" s="3">
        <f>IFERROR(T29/S29,0)</f>
        <v/>
      </c>
      <c r="BB29" s="3">
        <f>I29</f>
        <v/>
      </c>
      <c r="BC29" s="3">
        <f>R29</f>
        <v/>
      </c>
      <c r="BD29" s="3">
        <f>IFERROR(100*V29/U29,0)</f>
        <v/>
      </c>
      <c r="BE29" s="3">
        <f>IFERROR(1000*(W29+Y29)/N29,0)</f>
        <v/>
      </c>
      <c r="BF29" s="3">
        <f>W29</f>
        <v/>
      </c>
      <c r="BG29" s="3">
        <f>X29</f>
        <v/>
      </c>
      <c r="BH29" s="3">
        <f>Z29</f>
        <v/>
      </c>
      <c r="BI29" s="3">
        <f>AA29</f>
        <v/>
      </c>
      <c r="BJ29" s="3">
        <f>IFERROR(AB29/N29,0)</f>
        <v/>
      </c>
      <c r="BK29" s="3">
        <f>AC29</f>
        <v/>
      </c>
      <c r="BL29" s="3">
        <f>AD29</f>
        <v/>
      </c>
      <c r="BM29" s="3">
        <f>AP29</f>
        <v/>
      </c>
      <c r="BN29" s="3">
        <f>IFERROR(100*AR29/AQ29,0)</f>
        <v/>
      </c>
      <c r="BO29" s="3">
        <f>AK29</f>
        <v/>
      </c>
      <c r="BP29" s="3">
        <f>IFERROR(200000*AF29/AE29,0)</f>
        <v/>
      </c>
      <c r="BQ29" s="3">
        <f>AG29</f>
        <v/>
      </c>
      <c r="BR29" s="3">
        <f>AH29</f>
        <v/>
      </c>
      <c r="BS29" s="3">
        <f>AI29</f>
        <v/>
      </c>
      <c r="BT29" s="3">
        <f>AJ29</f>
        <v/>
      </c>
      <c r="BU29" s="3">
        <f>AL29</f>
        <v/>
      </c>
      <c r="BV29" s="3">
        <f>AM29</f>
        <v/>
      </c>
      <c r="BW29" s="3">
        <f>IF(AN29=0,100,100*AO29/AN29)</f>
        <v/>
      </c>
      <c r="BX29" s="3">
        <f>AS29</f>
        <v/>
      </c>
    </row>
    <row r="30">
      <c r="A30" t="inlineStr">
        <is>
          <t>Group</t>
        </is>
      </c>
      <c r="B30" t="inlineStr">
        <is>
          <t>Entity A2</t>
        </is>
      </c>
      <c r="C30" t="inlineStr">
        <is>
          <t>Plant 05</t>
        </is>
      </c>
      <c r="D30" t="inlineStr">
        <is>
          <t>2026-08</t>
        </is>
      </c>
      <c r="E30" t="n">
        <v>205</v>
      </c>
      <c r="F30" t="n">
        <v>744</v>
      </c>
      <c r="G30" t="n">
        <v>695</v>
      </c>
      <c r="H30" t="n">
        <v>644.6</v>
      </c>
      <c r="I30" t="n">
        <v>34.9</v>
      </c>
      <c r="J30" t="n">
        <v>142475</v>
      </c>
      <c r="K30" t="n">
        <v>152520</v>
      </c>
      <c r="L30" t="n">
        <v>126640</v>
      </c>
      <c r="M30" t="n">
        <v>125577</v>
      </c>
      <c r="N30" t="n">
        <v>123607</v>
      </c>
      <c r="O30" t="n">
        <v>138276</v>
      </c>
      <c r="P30" t="n">
        <v>32113</v>
      </c>
      <c r="Q30" t="n">
        <v>29045</v>
      </c>
      <c r="R30" t="n">
        <v>7154</v>
      </c>
      <c r="S30" t="n">
        <v>4</v>
      </c>
      <c r="T30" t="n">
        <v>30.5</v>
      </c>
      <c r="U30" t="n">
        <v>54</v>
      </c>
      <c r="V30" t="n">
        <v>54</v>
      </c>
      <c r="W30" t="n">
        <v>390308.9</v>
      </c>
      <c r="X30" t="n">
        <v>92794.10000000001</v>
      </c>
      <c r="Y30" t="n">
        <v>1470.7</v>
      </c>
      <c r="Z30" t="n">
        <v>320464</v>
      </c>
      <c r="AA30" t="n">
        <v>79520</v>
      </c>
      <c r="AB30" t="n">
        <v>439606</v>
      </c>
      <c r="AC30" t="n">
        <v>0</v>
      </c>
      <c r="AD30" t="n">
        <v>2</v>
      </c>
      <c r="AE30" t="n">
        <v>68000</v>
      </c>
      <c r="AF30" t="n">
        <v>0</v>
      </c>
      <c r="AG30" t="n">
        <v>0</v>
      </c>
      <c r="AH30" t="n">
        <v>11</v>
      </c>
      <c r="AI30" t="n">
        <v>0</v>
      </c>
      <c r="AJ30" t="n">
        <v>0</v>
      </c>
      <c r="AK30" t="n">
        <v>0</v>
      </c>
      <c r="AL30" t="n">
        <v>8</v>
      </c>
      <c r="AM30" t="n">
        <v>1</v>
      </c>
      <c r="AN30" t="n">
        <v>3</v>
      </c>
      <c r="AO30" t="n">
        <v>3</v>
      </c>
      <c r="AP30" t="n">
        <v>1</v>
      </c>
      <c r="AQ30" t="n">
        <v>185</v>
      </c>
      <c r="AR30" t="n">
        <v>11</v>
      </c>
      <c r="AS30" t="n">
        <v>132</v>
      </c>
      <c r="AT30" s="3">
        <f>IFERROR(100*N30/L30,0)</f>
        <v/>
      </c>
      <c r="AU30" s="3">
        <f>IFERROR(100*N30/K30,0)</f>
        <v/>
      </c>
      <c r="AV30" s="3">
        <f>IFERROR(100*H30/F30,0)</f>
        <v/>
      </c>
      <c r="AW30" s="3">
        <f>IFERROR(100*N30/J30,0)</f>
        <v/>
      </c>
      <c r="AX30" s="3">
        <f>IFERROR(100*Q30/P30,0)</f>
        <v/>
      </c>
      <c r="AY30" s="3">
        <f>IFERROR(100*N30/O30,0)</f>
        <v/>
      </c>
      <c r="AZ30" s="3">
        <f>IFERROR(H30/S30,0)</f>
        <v/>
      </c>
      <c r="BA30" s="3">
        <f>IFERROR(T30/S30,0)</f>
        <v/>
      </c>
      <c r="BB30" s="3">
        <f>I30</f>
        <v/>
      </c>
      <c r="BC30" s="3">
        <f>R30</f>
        <v/>
      </c>
      <c r="BD30" s="3">
        <f>IFERROR(100*V30/U30,0)</f>
        <v/>
      </c>
      <c r="BE30" s="3">
        <f>IFERROR(1000*(W30+Y30)/N30,0)</f>
        <v/>
      </c>
      <c r="BF30" s="3">
        <f>W30</f>
        <v/>
      </c>
      <c r="BG30" s="3">
        <f>X30</f>
        <v/>
      </c>
      <c r="BH30" s="3">
        <f>Z30</f>
        <v/>
      </c>
      <c r="BI30" s="3">
        <f>AA30</f>
        <v/>
      </c>
      <c r="BJ30" s="3">
        <f>IFERROR(AB30/N30,0)</f>
        <v/>
      </c>
      <c r="BK30" s="3">
        <f>AC30</f>
        <v/>
      </c>
      <c r="BL30" s="3">
        <f>AD30</f>
        <v/>
      </c>
      <c r="BM30" s="3">
        <f>AP30</f>
        <v/>
      </c>
      <c r="BN30" s="3">
        <f>IFERROR(100*AR30/AQ30,0)</f>
        <v/>
      </c>
      <c r="BO30" s="3">
        <f>AK30</f>
        <v/>
      </c>
      <c r="BP30" s="3">
        <f>IFERROR(200000*AF30/AE30,0)</f>
        <v/>
      </c>
      <c r="BQ30" s="3">
        <f>AG30</f>
        <v/>
      </c>
      <c r="BR30" s="3">
        <f>AH30</f>
        <v/>
      </c>
      <c r="BS30" s="3">
        <f>AI30</f>
        <v/>
      </c>
      <c r="BT30" s="3">
        <f>AJ30</f>
        <v/>
      </c>
      <c r="BU30" s="3">
        <f>AL30</f>
        <v/>
      </c>
      <c r="BV30" s="3">
        <f>AM30</f>
        <v/>
      </c>
      <c r="BW30" s="3">
        <f>IF(AN30=0,100,100*AO30/AN30)</f>
        <v/>
      </c>
      <c r="BX30" s="3">
        <f>AS30</f>
        <v/>
      </c>
    </row>
    <row r="31">
      <c r="A31" t="inlineStr">
        <is>
          <t>Group</t>
        </is>
      </c>
      <c r="B31" t="inlineStr">
        <is>
          <t>Entity A2</t>
        </is>
      </c>
      <c r="C31" t="inlineStr">
        <is>
          <t>Plant 05</t>
        </is>
      </c>
      <c r="D31" t="inlineStr">
        <is>
          <t>2026-09</t>
        </is>
      </c>
      <c r="E31" t="n">
        <v>205</v>
      </c>
      <c r="F31" t="n">
        <v>720</v>
      </c>
      <c r="G31" t="n">
        <v>710</v>
      </c>
      <c r="H31" t="n">
        <v>689.9</v>
      </c>
      <c r="I31" t="n">
        <v>10.2</v>
      </c>
      <c r="J31" t="n">
        <v>145550</v>
      </c>
      <c r="K31" t="n">
        <v>147600</v>
      </c>
      <c r="L31" t="n">
        <v>130881</v>
      </c>
      <c r="M31" t="n">
        <v>134645</v>
      </c>
      <c r="N31" t="n">
        <v>132787</v>
      </c>
      <c r="O31" t="n">
        <v>142400</v>
      </c>
      <c r="P31" t="n">
        <v>28428</v>
      </c>
      <c r="Q31" t="n">
        <v>25111</v>
      </c>
      <c r="R31" t="n">
        <v>2091</v>
      </c>
      <c r="S31" t="n">
        <v>1</v>
      </c>
      <c r="T31" t="n">
        <v>5.2</v>
      </c>
      <c r="U31" t="n">
        <v>42</v>
      </c>
      <c r="V31" t="n">
        <v>41</v>
      </c>
      <c r="W31" t="n">
        <v>398678.1</v>
      </c>
      <c r="X31" t="n">
        <v>92193.89999999999</v>
      </c>
      <c r="Y31" t="n">
        <v>1248.5</v>
      </c>
      <c r="Z31" t="n">
        <v>299945</v>
      </c>
      <c r="AA31" t="n">
        <v>86535</v>
      </c>
      <c r="AB31" t="n">
        <v>425107</v>
      </c>
      <c r="AC31" t="n">
        <v>0</v>
      </c>
      <c r="AD31" t="n">
        <v>1</v>
      </c>
      <c r="AE31" t="n">
        <v>60000</v>
      </c>
      <c r="AF31" t="n">
        <v>0</v>
      </c>
      <c r="AG31" t="n">
        <v>1</v>
      </c>
      <c r="AH31" t="n">
        <v>9</v>
      </c>
      <c r="AI31" t="n">
        <v>0</v>
      </c>
      <c r="AJ31" t="n">
        <v>0</v>
      </c>
      <c r="AK31" t="n">
        <v>0</v>
      </c>
      <c r="AL31" t="n">
        <v>6</v>
      </c>
      <c r="AM31" t="n">
        <v>0</v>
      </c>
      <c r="AN31" t="n">
        <v>0</v>
      </c>
      <c r="AO31" t="n">
        <v>0</v>
      </c>
      <c r="AP31" t="n">
        <v>0</v>
      </c>
      <c r="AQ31" t="n">
        <v>198</v>
      </c>
      <c r="AR31" t="n">
        <v>15</v>
      </c>
      <c r="AS31" t="n">
        <v>102</v>
      </c>
      <c r="AT31" s="3">
        <f>IFERROR(100*N31/L31,0)</f>
        <v/>
      </c>
      <c r="AU31" s="3">
        <f>IFERROR(100*N31/K31,0)</f>
        <v/>
      </c>
      <c r="AV31" s="3">
        <f>IFERROR(100*H31/F31,0)</f>
        <v/>
      </c>
      <c r="AW31" s="3">
        <f>IFERROR(100*N31/J31,0)</f>
        <v/>
      </c>
      <c r="AX31" s="3">
        <f>IFERROR(100*Q31/P31,0)</f>
        <v/>
      </c>
      <c r="AY31" s="3">
        <f>IFERROR(100*N31/O31,0)</f>
        <v/>
      </c>
      <c r="AZ31" s="3">
        <f>IFERROR(H31/S31,0)</f>
        <v/>
      </c>
      <c r="BA31" s="3">
        <f>IFERROR(T31/S31,0)</f>
        <v/>
      </c>
      <c r="BB31" s="3">
        <f>I31</f>
        <v/>
      </c>
      <c r="BC31" s="3">
        <f>R31</f>
        <v/>
      </c>
      <c r="BD31" s="3">
        <f>IFERROR(100*V31/U31,0)</f>
        <v/>
      </c>
      <c r="BE31" s="3">
        <f>IFERROR(1000*(W31+Y31)/N31,0)</f>
        <v/>
      </c>
      <c r="BF31" s="3">
        <f>W31</f>
        <v/>
      </c>
      <c r="BG31" s="3">
        <f>X31</f>
        <v/>
      </c>
      <c r="BH31" s="3">
        <f>Z31</f>
        <v/>
      </c>
      <c r="BI31" s="3">
        <f>AA31</f>
        <v/>
      </c>
      <c r="BJ31" s="3">
        <f>IFERROR(AB31/N31,0)</f>
        <v/>
      </c>
      <c r="BK31" s="3">
        <f>AC31</f>
        <v/>
      </c>
      <c r="BL31" s="3">
        <f>AD31</f>
        <v/>
      </c>
      <c r="BM31" s="3">
        <f>AP31</f>
        <v/>
      </c>
      <c r="BN31" s="3">
        <f>IFERROR(100*AR31/AQ31,0)</f>
        <v/>
      </c>
      <c r="BO31" s="3">
        <f>AK31</f>
        <v/>
      </c>
      <c r="BP31" s="3">
        <f>IFERROR(200000*AF31/AE31,0)</f>
        <v/>
      </c>
      <c r="BQ31" s="3">
        <f>AG31</f>
        <v/>
      </c>
      <c r="BR31" s="3">
        <f>AH31</f>
        <v/>
      </c>
      <c r="BS31" s="3">
        <f>AI31</f>
        <v/>
      </c>
      <c r="BT31" s="3">
        <f>AJ31</f>
        <v/>
      </c>
      <c r="BU31" s="3">
        <f>AL31</f>
        <v/>
      </c>
      <c r="BV31" s="3">
        <f>AM31</f>
        <v/>
      </c>
      <c r="BW31" s="3">
        <f>IF(AN31=0,100,100*AO31/AN31)</f>
        <v/>
      </c>
      <c r="BX31" s="3">
        <f>AS31</f>
        <v/>
      </c>
    </row>
    <row r="32">
      <c r="A32" t="inlineStr">
        <is>
          <t>Group</t>
        </is>
      </c>
      <c r="B32" t="inlineStr">
        <is>
          <t>Entity A2</t>
        </is>
      </c>
      <c r="C32" t="inlineStr">
        <is>
          <t>Plant 06</t>
        </is>
      </c>
      <c r="D32" t="inlineStr">
        <is>
          <t>2026-04</t>
        </is>
      </c>
      <c r="E32" t="n">
        <v>158.2</v>
      </c>
      <c r="F32" t="n">
        <v>720</v>
      </c>
      <c r="G32" t="n">
        <v>716</v>
      </c>
      <c r="H32" t="n">
        <v>694.1</v>
      </c>
      <c r="I32" t="n">
        <v>10.8</v>
      </c>
      <c r="J32" t="n">
        <v>113271</v>
      </c>
      <c r="K32" t="n">
        <v>113904</v>
      </c>
      <c r="L32" t="n">
        <v>99263</v>
      </c>
      <c r="M32" t="n">
        <v>106301</v>
      </c>
      <c r="N32" t="n">
        <v>101956</v>
      </c>
      <c r="O32" t="n">
        <v>109614</v>
      </c>
      <c r="P32" t="n">
        <v>26222</v>
      </c>
      <c r="Q32" t="n">
        <v>22359</v>
      </c>
      <c r="R32" t="n">
        <v>1709</v>
      </c>
      <c r="S32" t="n">
        <v>1</v>
      </c>
      <c r="T32" t="n">
        <v>3.1</v>
      </c>
      <c r="U32" t="n">
        <v>39</v>
      </c>
      <c r="V32" t="n">
        <v>37</v>
      </c>
      <c r="W32" t="n">
        <v>268423.8</v>
      </c>
      <c r="X32" t="n">
        <v>65884.39999999999</v>
      </c>
      <c r="Y32" t="n">
        <v>1044.7</v>
      </c>
      <c r="Z32" t="n">
        <v>209508</v>
      </c>
      <c r="AA32" t="n">
        <v>61037</v>
      </c>
      <c r="AB32" t="n">
        <v>339430</v>
      </c>
      <c r="AC32" t="n">
        <v>0</v>
      </c>
      <c r="AD32" t="n">
        <v>2</v>
      </c>
      <c r="AE32" t="n">
        <v>68000</v>
      </c>
      <c r="AF32" t="n">
        <v>0</v>
      </c>
      <c r="AG32" t="n">
        <v>0</v>
      </c>
      <c r="AH32" t="n">
        <v>10</v>
      </c>
      <c r="AI32" t="n">
        <v>0</v>
      </c>
      <c r="AJ32" t="n">
        <v>1</v>
      </c>
      <c r="AK32" t="n">
        <v>1</v>
      </c>
      <c r="AL32" t="n">
        <v>9</v>
      </c>
      <c r="AM32" t="n">
        <v>1</v>
      </c>
      <c r="AN32" t="n">
        <v>2</v>
      </c>
      <c r="AO32" t="n">
        <v>2</v>
      </c>
      <c r="AP32" t="n">
        <v>0</v>
      </c>
      <c r="AQ32" t="n">
        <v>184</v>
      </c>
      <c r="AR32" t="n">
        <v>6</v>
      </c>
      <c r="AS32" t="n">
        <v>260</v>
      </c>
      <c r="AT32" s="3">
        <f>IFERROR(100*N32/L32,0)</f>
        <v/>
      </c>
      <c r="AU32" s="3">
        <f>IFERROR(100*N32/K32,0)</f>
        <v/>
      </c>
      <c r="AV32" s="3">
        <f>IFERROR(100*H32/F32,0)</f>
        <v/>
      </c>
      <c r="AW32" s="3">
        <f>IFERROR(100*N32/J32,0)</f>
        <v/>
      </c>
      <c r="AX32" s="3">
        <f>IFERROR(100*Q32/P32,0)</f>
        <v/>
      </c>
      <c r="AY32" s="3">
        <f>IFERROR(100*N32/O32,0)</f>
        <v/>
      </c>
      <c r="AZ32" s="3">
        <f>IFERROR(H32/S32,0)</f>
        <v/>
      </c>
      <c r="BA32" s="3">
        <f>IFERROR(T32/S32,0)</f>
        <v/>
      </c>
      <c r="BB32" s="3">
        <f>I32</f>
        <v/>
      </c>
      <c r="BC32" s="3">
        <f>R32</f>
        <v/>
      </c>
      <c r="BD32" s="3">
        <f>IFERROR(100*V32/U32,0)</f>
        <v/>
      </c>
      <c r="BE32" s="3">
        <f>IFERROR(1000*(W32+Y32)/N32,0)</f>
        <v/>
      </c>
      <c r="BF32" s="3">
        <f>W32</f>
        <v/>
      </c>
      <c r="BG32" s="3">
        <f>X32</f>
        <v/>
      </c>
      <c r="BH32" s="3">
        <f>Z32</f>
        <v/>
      </c>
      <c r="BI32" s="3">
        <f>AA32</f>
        <v/>
      </c>
      <c r="BJ32" s="3">
        <f>IFERROR(AB32/N32,0)</f>
        <v/>
      </c>
      <c r="BK32" s="3">
        <f>AC32</f>
        <v/>
      </c>
      <c r="BL32" s="3">
        <f>AD32</f>
        <v/>
      </c>
      <c r="BM32" s="3">
        <f>AP32</f>
        <v/>
      </c>
      <c r="BN32" s="3">
        <f>IFERROR(100*AR32/AQ32,0)</f>
        <v/>
      </c>
      <c r="BO32" s="3">
        <f>AK32</f>
        <v/>
      </c>
      <c r="BP32" s="3">
        <f>IFERROR(200000*AF32/AE32,0)</f>
        <v/>
      </c>
      <c r="BQ32" s="3">
        <f>AG32</f>
        <v/>
      </c>
      <c r="BR32" s="3">
        <f>AH32</f>
        <v/>
      </c>
      <c r="BS32" s="3">
        <f>AI32</f>
        <v/>
      </c>
      <c r="BT32" s="3">
        <f>AJ32</f>
        <v/>
      </c>
      <c r="BU32" s="3">
        <f>AL32</f>
        <v/>
      </c>
      <c r="BV32" s="3">
        <f>AM32</f>
        <v/>
      </c>
      <c r="BW32" s="3">
        <f>IF(AN32=0,100,100*AO32/AN32)</f>
        <v/>
      </c>
      <c r="BX32" s="3">
        <f>AS32</f>
        <v/>
      </c>
    </row>
    <row r="33">
      <c r="A33" t="inlineStr">
        <is>
          <t>Group</t>
        </is>
      </c>
      <c r="B33" t="inlineStr">
        <is>
          <t>Entity A2</t>
        </is>
      </c>
      <c r="C33" t="inlineStr">
        <is>
          <t>Plant 06</t>
        </is>
      </c>
      <c r="D33" t="inlineStr">
        <is>
          <t>2026-05</t>
        </is>
      </c>
      <c r="E33" t="n">
        <v>158.2</v>
      </c>
      <c r="F33" t="n">
        <v>744</v>
      </c>
      <c r="G33" t="n">
        <v>678</v>
      </c>
      <c r="H33" t="n">
        <v>650</v>
      </c>
      <c r="I33" t="n">
        <v>20.8</v>
      </c>
      <c r="J33" t="n">
        <v>107260</v>
      </c>
      <c r="K33" t="n">
        <v>117701</v>
      </c>
      <c r="L33" t="n">
        <v>93083</v>
      </c>
      <c r="M33" t="n">
        <v>93387</v>
      </c>
      <c r="N33" t="n">
        <v>90953</v>
      </c>
      <c r="O33" t="n">
        <v>96185</v>
      </c>
      <c r="P33" t="n">
        <v>18622</v>
      </c>
      <c r="Q33" t="n">
        <v>16188</v>
      </c>
      <c r="R33" t="n">
        <v>3291</v>
      </c>
      <c r="S33" t="n">
        <v>3</v>
      </c>
      <c r="T33" t="n">
        <v>14.6</v>
      </c>
      <c r="U33" t="n">
        <v>51</v>
      </c>
      <c r="V33" t="n">
        <v>49</v>
      </c>
      <c r="W33" t="n">
        <v>257302.8</v>
      </c>
      <c r="X33" t="n">
        <v>71687.7</v>
      </c>
      <c r="Y33" t="n">
        <v>1471.8</v>
      </c>
      <c r="Z33" t="n">
        <v>170103</v>
      </c>
      <c r="AA33" t="n">
        <v>63809</v>
      </c>
      <c r="AB33" t="n">
        <v>283826</v>
      </c>
      <c r="AC33" t="n">
        <v>2043</v>
      </c>
      <c r="AD33" t="n">
        <v>0</v>
      </c>
      <c r="AE33" t="n">
        <v>59000</v>
      </c>
      <c r="AF33" t="n">
        <v>0</v>
      </c>
      <c r="AG33" t="n">
        <v>1</v>
      </c>
      <c r="AH33" t="n">
        <v>8</v>
      </c>
      <c r="AI33" t="n">
        <v>1</v>
      </c>
      <c r="AJ33" t="n">
        <v>0</v>
      </c>
      <c r="AK33" t="n">
        <v>0</v>
      </c>
      <c r="AL33" t="n">
        <v>6</v>
      </c>
      <c r="AM33" t="n">
        <v>2</v>
      </c>
      <c r="AN33" t="n">
        <v>2</v>
      </c>
      <c r="AO33" t="n">
        <v>2</v>
      </c>
      <c r="AP33" t="n">
        <v>0</v>
      </c>
      <c r="AQ33" t="n">
        <v>185</v>
      </c>
      <c r="AR33" t="n">
        <v>15</v>
      </c>
      <c r="AS33" t="n">
        <v>230</v>
      </c>
      <c r="AT33" s="3">
        <f>IFERROR(100*N33/L33,0)</f>
        <v/>
      </c>
      <c r="AU33" s="3">
        <f>IFERROR(100*N33/K33,0)</f>
        <v/>
      </c>
      <c r="AV33" s="3">
        <f>IFERROR(100*H33/F33,0)</f>
        <v/>
      </c>
      <c r="AW33" s="3">
        <f>IFERROR(100*N33/J33,0)</f>
        <v/>
      </c>
      <c r="AX33" s="3">
        <f>IFERROR(100*Q33/P33,0)</f>
        <v/>
      </c>
      <c r="AY33" s="3">
        <f>IFERROR(100*N33/O33,0)</f>
        <v/>
      </c>
      <c r="AZ33" s="3">
        <f>IFERROR(H33/S33,0)</f>
        <v/>
      </c>
      <c r="BA33" s="3">
        <f>IFERROR(T33/S33,0)</f>
        <v/>
      </c>
      <c r="BB33" s="3">
        <f>I33</f>
        <v/>
      </c>
      <c r="BC33" s="3">
        <f>R33</f>
        <v/>
      </c>
      <c r="BD33" s="3">
        <f>IFERROR(100*V33/U33,0)</f>
        <v/>
      </c>
      <c r="BE33" s="3">
        <f>IFERROR(1000*(W33+Y33)/N33,0)</f>
        <v/>
      </c>
      <c r="BF33" s="3">
        <f>W33</f>
        <v/>
      </c>
      <c r="BG33" s="3">
        <f>X33</f>
        <v/>
      </c>
      <c r="BH33" s="3">
        <f>Z33</f>
        <v/>
      </c>
      <c r="BI33" s="3">
        <f>AA33</f>
        <v/>
      </c>
      <c r="BJ33" s="3">
        <f>IFERROR(AB33/N33,0)</f>
        <v/>
      </c>
      <c r="BK33" s="3">
        <f>AC33</f>
        <v/>
      </c>
      <c r="BL33" s="3">
        <f>AD33</f>
        <v/>
      </c>
      <c r="BM33" s="3">
        <f>AP33</f>
        <v/>
      </c>
      <c r="BN33" s="3">
        <f>IFERROR(100*AR33/AQ33,0)</f>
        <v/>
      </c>
      <c r="BO33" s="3">
        <f>AK33</f>
        <v/>
      </c>
      <c r="BP33" s="3">
        <f>IFERROR(200000*AF33/AE33,0)</f>
        <v/>
      </c>
      <c r="BQ33" s="3">
        <f>AG33</f>
        <v/>
      </c>
      <c r="BR33" s="3">
        <f>AH33</f>
        <v/>
      </c>
      <c r="BS33" s="3">
        <f>AI33</f>
        <v/>
      </c>
      <c r="BT33" s="3">
        <f>AJ33</f>
        <v/>
      </c>
      <c r="BU33" s="3">
        <f>AL33</f>
        <v/>
      </c>
      <c r="BV33" s="3">
        <f>AM33</f>
        <v/>
      </c>
      <c r="BW33" s="3">
        <f>IF(AN33=0,100,100*AO33/AN33)</f>
        <v/>
      </c>
      <c r="BX33" s="3">
        <f>AS33</f>
        <v/>
      </c>
    </row>
    <row r="34">
      <c r="A34" t="inlineStr">
        <is>
          <t>Group</t>
        </is>
      </c>
      <c r="B34" t="inlineStr">
        <is>
          <t>Entity A2</t>
        </is>
      </c>
      <c r="C34" t="inlineStr">
        <is>
          <t>Plant 06</t>
        </is>
      </c>
      <c r="D34" t="inlineStr">
        <is>
          <t>2026-06</t>
        </is>
      </c>
      <c r="E34" t="n">
        <v>158.2</v>
      </c>
      <c r="F34" t="n">
        <v>720</v>
      </c>
      <c r="G34" t="n">
        <v>710</v>
      </c>
      <c r="H34" t="n">
        <v>685.1</v>
      </c>
      <c r="I34" t="n">
        <v>7.6</v>
      </c>
      <c r="J34" t="n">
        <v>112322</v>
      </c>
      <c r="K34" t="n">
        <v>113904</v>
      </c>
      <c r="L34" t="n">
        <v>101737</v>
      </c>
      <c r="M34" t="n">
        <v>99375</v>
      </c>
      <c r="N34" t="n">
        <v>97786</v>
      </c>
      <c r="O34" t="n">
        <v>109226</v>
      </c>
      <c r="P34" t="n">
        <v>20553</v>
      </c>
      <c r="Q34" t="n">
        <v>17742</v>
      </c>
      <c r="R34" t="n">
        <v>1202</v>
      </c>
      <c r="S34" t="n">
        <v>1</v>
      </c>
      <c r="T34" t="n">
        <v>4</v>
      </c>
      <c r="U34" t="n">
        <v>34</v>
      </c>
      <c r="V34" t="n">
        <v>34</v>
      </c>
      <c r="W34" t="n">
        <v>293503.6</v>
      </c>
      <c r="X34" t="n">
        <v>70567.7</v>
      </c>
      <c r="Y34" t="n">
        <v>953.1</v>
      </c>
      <c r="Z34" t="n">
        <v>209475</v>
      </c>
      <c r="AA34" t="n">
        <v>54476</v>
      </c>
      <c r="AB34" t="n">
        <v>289664</v>
      </c>
      <c r="AC34" t="n">
        <v>4506</v>
      </c>
      <c r="AD34" t="n">
        <v>2</v>
      </c>
      <c r="AE34" t="n">
        <v>93000</v>
      </c>
      <c r="AF34" t="n">
        <v>0</v>
      </c>
      <c r="AG34" t="n">
        <v>0</v>
      </c>
      <c r="AH34" t="n">
        <v>5</v>
      </c>
      <c r="AI34" t="n">
        <v>0</v>
      </c>
      <c r="AJ34" t="n">
        <v>0</v>
      </c>
      <c r="AK34" t="n">
        <v>0</v>
      </c>
      <c r="AL34" t="n">
        <v>12</v>
      </c>
      <c r="AM34" t="n">
        <v>2</v>
      </c>
      <c r="AN34" t="n">
        <v>3</v>
      </c>
      <c r="AO34" t="n">
        <v>3</v>
      </c>
      <c r="AP34" t="n">
        <v>0</v>
      </c>
      <c r="AQ34" t="n">
        <v>175</v>
      </c>
      <c r="AR34" t="n">
        <v>8</v>
      </c>
      <c r="AS34" t="n">
        <v>200</v>
      </c>
      <c r="AT34" s="3">
        <f>IFERROR(100*N34/L34,0)</f>
        <v/>
      </c>
      <c r="AU34" s="3">
        <f>IFERROR(100*N34/K34,0)</f>
        <v/>
      </c>
      <c r="AV34" s="3">
        <f>IFERROR(100*H34/F34,0)</f>
        <v/>
      </c>
      <c r="AW34" s="3">
        <f>IFERROR(100*N34/J34,0)</f>
        <v/>
      </c>
      <c r="AX34" s="3">
        <f>IFERROR(100*Q34/P34,0)</f>
        <v/>
      </c>
      <c r="AY34" s="3">
        <f>IFERROR(100*N34/O34,0)</f>
        <v/>
      </c>
      <c r="AZ34" s="3">
        <f>IFERROR(H34/S34,0)</f>
        <v/>
      </c>
      <c r="BA34" s="3">
        <f>IFERROR(T34/S34,0)</f>
        <v/>
      </c>
      <c r="BB34" s="3">
        <f>I34</f>
        <v/>
      </c>
      <c r="BC34" s="3">
        <f>R34</f>
        <v/>
      </c>
      <c r="BD34" s="3">
        <f>IFERROR(100*V34/U34,0)</f>
        <v/>
      </c>
      <c r="BE34" s="3">
        <f>IFERROR(1000*(W34+Y34)/N34,0)</f>
        <v/>
      </c>
      <c r="BF34" s="3">
        <f>W34</f>
        <v/>
      </c>
      <c r="BG34" s="3">
        <f>X34</f>
        <v/>
      </c>
      <c r="BH34" s="3">
        <f>Z34</f>
        <v/>
      </c>
      <c r="BI34" s="3">
        <f>AA34</f>
        <v/>
      </c>
      <c r="BJ34" s="3">
        <f>IFERROR(AB34/N34,0)</f>
        <v/>
      </c>
      <c r="BK34" s="3">
        <f>AC34</f>
        <v/>
      </c>
      <c r="BL34" s="3">
        <f>AD34</f>
        <v/>
      </c>
      <c r="BM34" s="3">
        <f>AP34</f>
        <v/>
      </c>
      <c r="BN34" s="3">
        <f>IFERROR(100*AR34/AQ34,0)</f>
        <v/>
      </c>
      <c r="BO34" s="3">
        <f>AK34</f>
        <v/>
      </c>
      <c r="BP34" s="3">
        <f>IFERROR(200000*AF34/AE34,0)</f>
        <v/>
      </c>
      <c r="BQ34" s="3">
        <f>AG34</f>
        <v/>
      </c>
      <c r="BR34" s="3">
        <f>AH34</f>
        <v/>
      </c>
      <c r="BS34" s="3">
        <f>AI34</f>
        <v/>
      </c>
      <c r="BT34" s="3">
        <f>AJ34</f>
        <v/>
      </c>
      <c r="BU34" s="3">
        <f>AL34</f>
        <v/>
      </c>
      <c r="BV34" s="3">
        <f>AM34</f>
        <v/>
      </c>
      <c r="BW34" s="3">
        <f>IF(AN34=0,100,100*AO34/AN34)</f>
        <v/>
      </c>
      <c r="BX34" s="3">
        <f>AS34</f>
        <v/>
      </c>
    </row>
    <row r="35">
      <c r="A35" t="inlineStr">
        <is>
          <t>Group</t>
        </is>
      </c>
      <c r="B35" t="inlineStr">
        <is>
          <t>Entity A2</t>
        </is>
      </c>
      <c r="C35" t="inlineStr">
        <is>
          <t>Plant 06</t>
        </is>
      </c>
      <c r="D35" t="inlineStr">
        <is>
          <t>2026-07</t>
        </is>
      </c>
      <c r="E35" t="n">
        <v>158.2</v>
      </c>
      <c r="F35" t="n">
        <v>744</v>
      </c>
      <c r="G35" t="n">
        <v>738</v>
      </c>
      <c r="H35" t="n">
        <v>699.9</v>
      </c>
      <c r="I35" t="n">
        <v>23.1</v>
      </c>
      <c r="J35" t="n">
        <v>116752</v>
      </c>
      <c r="K35" t="n">
        <v>117701</v>
      </c>
      <c r="L35" t="n">
        <v>103750</v>
      </c>
      <c r="M35" t="n">
        <v>103911</v>
      </c>
      <c r="N35" t="n">
        <v>100958</v>
      </c>
      <c r="O35" t="n">
        <v>112227</v>
      </c>
      <c r="P35" t="n">
        <v>21719</v>
      </c>
      <c r="Q35" t="n">
        <v>18318</v>
      </c>
      <c r="R35" t="n">
        <v>3654</v>
      </c>
      <c r="S35" t="n">
        <v>3</v>
      </c>
      <c r="T35" t="n">
        <v>16.9</v>
      </c>
      <c r="U35" t="n">
        <v>31</v>
      </c>
      <c r="V35" t="n">
        <v>29</v>
      </c>
      <c r="W35" t="n">
        <v>315593.3</v>
      </c>
      <c r="X35" t="n">
        <v>100678.8</v>
      </c>
      <c r="Y35" t="n">
        <v>1062.1</v>
      </c>
      <c r="Z35" t="n">
        <v>220957</v>
      </c>
      <c r="AA35" t="n">
        <v>68538</v>
      </c>
      <c r="AB35" t="n">
        <v>303194</v>
      </c>
      <c r="AC35" t="n">
        <v>1940</v>
      </c>
      <c r="AD35" t="n">
        <v>0</v>
      </c>
      <c r="AE35" t="n">
        <v>86000</v>
      </c>
      <c r="AF35" t="n">
        <v>0</v>
      </c>
      <c r="AG35" t="n">
        <v>0</v>
      </c>
      <c r="AH35" t="n">
        <v>6</v>
      </c>
      <c r="AI35" t="n">
        <v>0</v>
      </c>
      <c r="AJ35" t="n">
        <v>0</v>
      </c>
      <c r="AK35" t="n">
        <v>0</v>
      </c>
      <c r="AL35" t="n">
        <v>9</v>
      </c>
      <c r="AM35" t="n">
        <v>1</v>
      </c>
      <c r="AN35" t="n">
        <v>3</v>
      </c>
      <c r="AO35" t="n">
        <v>2</v>
      </c>
      <c r="AP35" t="n">
        <v>2</v>
      </c>
      <c r="AQ35" t="n">
        <v>153</v>
      </c>
      <c r="AR35" t="n">
        <v>12</v>
      </c>
      <c r="AS35" t="n">
        <v>170</v>
      </c>
      <c r="AT35" s="3">
        <f>IFERROR(100*N35/L35,0)</f>
        <v/>
      </c>
      <c r="AU35" s="3">
        <f>IFERROR(100*N35/K35,0)</f>
        <v/>
      </c>
      <c r="AV35" s="3">
        <f>IFERROR(100*H35/F35,0)</f>
        <v/>
      </c>
      <c r="AW35" s="3">
        <f>IFERROR(100*N35/J35,0)</f>
        <v/>
      </c>
      <c r="AX35" s="3">
        <f>IFERROR(100*Q35/P35,0)</f>
        <v/>
      </c>
      <c r="AY35" s="3">
        <f>IFERROR(100*N35/O35,0)</f>
        <v/>
      </c>
      <c r="AZ35" s="3">
        <f>IFERROR(H35/S35,0)</f>
        <v/>
      </c>
      <c r="BA35" s="3">
        <f>IFERROR(T35/S35,0)</f>
        <v/>
      </c>
      <c r="BB35" s="3">
        <f>I35</f>
        <v/>
      </c>
      <c r="BC35" s="3">
        <f>R35</f>
        <v/>
      </c>
      <c r="BD35" s="3">
        <f>IFERROR(100*V35/U35,0)</f>
        <v/>
      </c>
      <c r="BE35" s="3">
        <f>IFERROR(1000*(W35+Y35)/N35,0)</f>
        <v/>
      </c>
      <c r="BF35" s="3">
        <f>W35</f>
        <v/>
      </c>
      <c r="BG35" s="3">
        <f>X35</f>
        <v/>
      </c>
      <c r="BH35" s="3">
        <f>Z35</f>
        <v/>
      </c>
      <c r="BI35" s="3">
        <f>AA35</f>
        <v/>
      </c>
      <c r="BJ35" s="3">
        <f>IFERROR(AB35/N35,0)</f>
        <v/>
      </c>
      <c r="BK35" s="3">
        <f>AC35</f>
        <v/>
      </c>
      <c r="BL35" s="3">
        <f>AD35</f>
        <v/>
      </c>
      <c r="BM35" s="3">
        <f>AP35</f>
        <v/>
      </c>
      <c r="BN35" s="3">
        <f>IFERROR(100*AR35/AQ35,0)</f>
        <v/>
      </c>
      <c r="BO35" s="3">
        <f>AK35</f>
        <v/>
      </c>
      <c r="BP35" s="3">
        <f>IFERROR(200000*AF35/AE35,0)</f>
        <v/>
      </c>
      <c r="BQ35" s="3">
        <f>AG35</f>
        <v/>
      </c>
      <c r="BR35" s="3">
        <f>AH35</f>
        <v/>
      </c>
      <c r="BS35" s="3">
        <f>AI35</f>
        <v/>
      </c>
      <c r="BT35" s="3">
        <f>AJ35</f>
        <v/>
      </c>
      <c r="BU35" s="3">
        <f>AL35</f>
        <v/>
      </c>
      <c r="BV35" s="3">
        <f>AM35</f>
        <v/>
      </c>
      <c r="BW35" s="3">
        <f>IF(AN35=0,100,100*AO35/AN35)</f>
        <v/>
      </c>
      <c r="BX35" s="3">
        <f>AS35</f>
        <v/>
      </c>
    </row>
    <row r="36">
      <c r="A36" t="inlineStr">
        <is>
          <t>Group</t>
        </is>
      </c>
      <c r="B36" t="inlineStr">
        <is>
          <t>Entity A2</t>
        </is>
      </c>
      <c r="C36" t="inlineStr">
        <is>
          <t>Plant 06</t>
        </is>
      </c>
      <c r="D36" t="inlineStr">
        <is>
          <t>2026-08</t>
        </is>
      </c>
      <c r="E36" t="n">
        <v>158.2</v>
      </c>
      <c r="F36" t="n">
        <v>744</v>
      </c>
      <c r="G36" t="n">
        <v>744</v>
      </c>
      <c r="H36" t="n">
        <v>702</v>
      </c>
      <c r="I36" t="n">
        <v>23.5</v>
      </c>
      <c r="J36" t="n">
        <v>117701</v>
      </c>
      <c r="K36" t="n">
        <v>117701</v>
      </c>
      <c r="L36" t="n">
        <v>105368</v>
      </c>
      <c r="M36" t="n">
        <v>100223</v>
      </c>
      <c r="N36" t="n">
        <v>97315</v>
      </c>
      <c r="O36" t="n">
        <v>105052</v>
      </c>
      <c r="P36" t="n">
        <v>24299</v>
      </c>
      <c r="Q36" t="n">
        <v>21958</v>
      </c>
      <c r="R36" t="n">
        <v>3718</v>
      </c>
      <c r="S36" t="n">
        <v>4</v>
      </c>
      <c r="T36" t="n">
        <v>14.8</v>
      </c>
      <c r="U36" t="n">
        <v>30</v>
      </c>
      <c r="V36" t="n">
        <v>30</v>
      </c>
      <c r="W36" t="n">
        <v>329106.6</v>
      </c>
      <c r="X36" t="n">
        <v>89325.10000000001</v>
      </c>
      <c r="Y36" t="n">
        <v>1485.5</v>
      </c>
      <c r="Z36" t="n">
        <v>185666</v>
      </c>
      <c r="AA36" t="n">
        <v>60804</v>
      </c>
      <c r="AB36" t="n">
        <v>349459</v>
      </c>
      <c r="AC36" t="n">
        <v>5827</v>
      </c>
      <c r="AD36" t="n">
        <v>2</v>
      </c>
      <c r="AE36" t="n">
        <v>57000</v>
      </c>
      <c r="AF36" t="n">
        <v>1</v>
      </c>
      <c r="AG36" t="n">
        <v>0</v>
      </c>
      <c r="AH36" t="n">
        <v>10</v>
      </c>
      <c r="AI36" t="n">
        <v>0</v>
      </c>
      <c r="AJ36" t="n">
        <v>0</v>
      </c>
      <c r="AK36" t="n">
        <v>0</v>
      </c>
      <c r="AL36" t="n">
        <v>6</v>
      </c>
      <c r="AM36" t="n">
        <v>0</v>
      </c>
      <c r="AN36" t="n">
        <v>3</v>
      </c>
      <c r="AO36" t="n">
        <v>3</v>
      </c>
      <c r="AP36" t="n">
        <v>0</v>
      </c>
      <c r="AQ36" t="n">
        <v>231</v>
      </c>
      <c r="AR36" t="n">
        <v>8</v>
      </c>
      <c r="AS36" t="n">
        <v>140</v>
      </c>
      <c r="AT36" s="3">
        <f>IFERROR(100*N36/L36,0)</f>
        <v/>
      </c>
      <c r="AU36" s="3">
        <f>IFERROR(100*N36/K36,0)</f>
        <v/>
      </c>
      <c r="AV36" s="3">
        <f>IFERROR(100*H36/F36,0)</f>
        <v/>
      </c>
      <c r="AW36" s="3">
        <f>IFERROR(100*N36/J36,0)</f>
        <v/>
      </c>
      <c r="AX36" s="3">
        <f>IFERROR(100*Q36/P36,0)</f>
        <v/>
      </c>
      <c r="AY36" s="3">
        <f>IFERROR(100*N36/O36,0)</f>
        <v/>
      </c>
      <c r="AZ36" s="3">
        <f>IFERROR(H36/S36,0)</f>
        <v/>
      </c>
      <c r="BA36" s="3">
        <f>IFERROR(T36/S36,0)</f>
        <v/>
      </c>
      <c r="BB36" s="3">
        <f>I36</f>
        <v/>
      </c>
      <c r="BC36" s="3">
        <f>R36</f>
        <v/>
      </c>
      <c r="BD36" s="3">
        <f>IFERROR(100*V36/U36,0)</f>
        <v/>
      </c>
      <c r="BE36" s="3">
        <f>IFERROR(1000*(W36+Y36)/N36,0)</f>
        <v/>
      </c>
      <c r="BF36" s="3">
        <f>W36</f>
        <v/>
      </c>
      <c r="BG36" s="3">
        <f>X36</f>
        <v/>
      </c>
      <c r="BH36" s="3">
        <f>Z36</f>
        <v/>
      </c>
      <c r="BI36" s="3">
        <f>AA36</f>
        <v/>
      </c>
      <c r="BJ36" s="3">
        <f>IFERROR(AB36/N36,0)</f>
        <v/>
      </c>
      <c r="BK36" s="3">
        <f>AC36</f>
        <v/>
      </c>
      <c r="BL36" s="3">
        <f>AD36</f>
        <v/>
      </c>
      <c r="BM36" s="3">
        <f>AP36</f>
        <v/>
      </c>
      <c r="BN36" s="3">
        <f>IFERROR(100*AR36/AQ36,0)</f>
        <v/>
      </c>
      <c r="BO36" s="3">
        <f>AK36</f>
        <v/>
      </c>
      <c r="BP36" s="3">
        <f>IFERROR(200000*AF36/AE36,0)</f>
        <v/>
      </c>
      <c r="BQ36" s="3">
        <f>AG36</f>
        <v/>
      </c>
      <c r="BR36" s="3">
        <f>AH36</f>
        <v/>
      </c>
      <c r="BS36" s="3">
        <f>AI36</f>
        <v/>
      </c>
      <c r="BT36" s="3">
        <f>AJ36</f>
        <v/>
      </c>
      <c r="BU36" s="3">
        <f>AL36</f>
        <v/>
      </c>
      <c r="BV36" s="3">
        <f>AM36</f>
        <v/>
      </c>
      <c r="BW36" s="3">
        <f>IF(AN36=0,100,100*AO36/AN36)</f>
        <v/>
      </c>
      <c r="BX36" s="3">
        <f>AS36</f>
        <v/>
      </c>
    </row>
    <row r="37">
      <c r="A37" t="inlineStr">
        <is>
          <t>Group</t>
        </is>
      </c>
      <c r="B37" t="inlineStr">
        <is>
          <t>Entity A2</t>
        </is>
      </c>
      <c r="C37" t="inlineStr">
        <is>
          <t>Plant 06</t>
        </is>
      </c>
      <c r="D37" t="inlineStr">
        <is>
          <t>2026-09</t>
        </is>
      </c>
      <c r="E37" t="n">
        <v>158.2</v>
      </c>
      <c r="F37" t="n">
        <v>720</v>
      </c>
      <c r="G37" t="n">
        <v>712</v>
      </c>
      <c r="H37" t="n">
        <v>680.7</v>
      </c>
      <c r="I37" t="n">
        <v>13.4</v>
      </c>
      <c r="J37" t="n">
        <v>112638</v>
      </c>
      <c r="K37" t="n">
        <v>113904</v>
      </c>
      <c r="L37" t="n">
        <v>98037</v>
      </c>
      <c r="M37" t="n">
        <v>97437</v>
      </c>
      <c r="N37" t="n">
        <v>94388</v>
      </c>
      <c r="O37" t="n">
        <v>101633</v>
      </c>
      <c r="P37" t="n">
        <v>20587</v>
      </c>
      <c r="Q37" t="n">
        <v>17410</v>
      </c>
      <c r="R37" t="n">
        <v>2120</v>
      </c>
      <c r="S37" t="n">
        <v>1</v>
      </c>
      <c r="T37" t="n">
        <v>6.5</v>
      </c>
      <c r="U37" t="n">
        <v>36</v>
      </c>
      <c r="V37" t="n">
        <v>34</v>
      </c>
      <c r="W37" t="n">
        <v>262617.2</v>
      </c>
      <c r="X37" t="n">
        <v>65862.8</v>
      </c>
      <c r="Y37" t="n">
        <v>1573</v>
      </c>
      <c r="Z37" t="n">
        <v>230619</v>
      </c>
      <c r="AA37" t="n">
        <v>63239</v>
      </c>
      <c r="AB37" t="n">
        <v>287280</v>
      </c>
      <c r="AC37" t="n">
        <v>5880</v>
      </c>
      <c r="AD37" t="n">
        <v>1</v>
      </c>
      <c r="AE37" t="n">
        <v>89000</v>
      </c>
      <c r="AF37" t="n">
        <v>0</v>
      </c>
      <c r="AG37" t="n">
        <v>1</v>
      </c>
      <c r="AH37" t="n">
        <v>9</v>
      </c>
      <c r="AI37" t="n">
        <v>0</v>
      </c>
      <c r="AJ37" t="n">
        <v>0</v>
      </c>
      <c r="AK37" t="n">
        <v>0</v>
      </c>
      <c r="AL37" t="n">
        <v>5</v>
      </c>
      <c r="AM37" t="n">
        <v>1</v>
      </c>
      <c r="AN37" t="n">
        <v>0</v>
      </c>
      <c r="AO37" t="n">
        <v>0</v>
      </c>
      <c r="AP37" t="n">
        <v>1</v>
      </c>
      <c r="AQ37" t="n">
        <v>125</v>
      </c>
      <c r="AR37" t="n">
        <v>3</v>
      </c>
      <c r="AS37" t="n">
        <v>110</v>
      </c>
      <c r="AT37" s="3">
        <f>IFERROR(100*N37/L37,0)</f>
        <v/>
      </c>
      <c r="AU37" s="3">
        <f>IFERROR(100*N37/K37,0)</f>
        <v/>
      </c>
      <c r="AV37" s="3">
        <f>IFERROR(100*H37/F37,0)</f>
        <v/>
      </c>
      <c r="AW37" s="3">
        <f>IFERROR(100*N37/J37,0)</f>
        <v/>
      </c>
      <c r="AX37" s="3">
        <f>IFERROR(100*Q37/P37,0)</f>
        <v/>
      </c>
      <c r="AY37" s="3">
        <f>IFERROR(100*N37/O37,0)</f>
        <v/>
      </c>
      <c r="AZ37" s="3">
        <f>IFERROR(H37/S37,0)</f>
        <v/>
      </c>
      <c r="BA37" s="3">
        <f>IFERROR(T37/S37,0)</f>
        <v/>
      </c>
      <c r="BB37" s="3">
        <f>I37</f>
        <v/>
      </c>
      <c r="BC37" s="3">
        <f>R37</f>
        <v/>
      </c>
      <c r="BD37" s="3">
        <f>IFERROR(100*V37/U37,0)</f>
        <v/>
      </c>
      <c r="BE37" s="3">
        <f>IFERROR(1000*(W37+Y37)/N37,0)</f>
        <v/>
      </c>
      <c r="BF37" s="3">
        <f>W37</f>
        <v/>
      </c>
      <c r="BG37" s="3">
        <f>X37</f>
        <v/>
      </c>
      <c r="BH37" s="3">
        <f>Z37</f>
        <v/>
      </c>
      <c r="BI37" s="3">
        <f>AA37</f>
        <v/>
      </c>
      <c r="BJ37" s="3">
        <f>IFERROR(AB37/N37,0)</f>
        <v/>
      </c>
      <c r="BK37" s="3">
        <f>AC37</f>
        <v/>
      </c>
      <c r="BL37" s="3">
        <f>AD37</f>
        <v/>
      </c>
      <c r="BM37" s="3">
        <f>AP37</f>
        <v/>
      </c>
      <c r="BN37" s="3">
        <f>IFERROR(100*AR37/AQ37,0)</f>
        <v/>
      </c>
      <c r="BO37" s="3">
        <f>AK37</f>
        <v/>
      </c>
      <c r="BP37" s="3">
        <f>IFERROR(200000*AF37/AE37,0)</f>
        <v/>
      </c>
      <c r="BQ37" s="3">
        <f>AG37</f>
        <v/>
      </c>
      <c r="BR37" s="3">
        <f>AH37</f>
        <v/>
      </c>
      <c r="BS37" s="3">
        <f>AI37</f>
        <v/>
      </c>
      <c r="BT37" s="3">
        <f>AJ37</f>
        <v/>
      </c>
      <c r="BU37" s="3">
        <f>AL37</f>
        <v/>
      </c>
      <c r="BV37" s="3">
        <f>AM37</f>
        <v/>
      </c>
      <c r="BW37" s="3">
        <f>IF(AN37=0,100,100*AO37/AN37)</f>
        <v/>
      </c>
      <c r="BX37" s="3">
        <f>AS37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1" t="inlineStr">
        <is>
          <t>group</t>
        </is>
      </c>
      <c r="B1" s="1" t="inlineStr">
        <is>
          <t>entity</t>
        </is>
      </c>
      <c r="C1" s="1" t="inlineStr">
        <is>
          <t>period</t>
        </is>
      </c>
      <c r="D1" s="1" t="inlineStr">
        <is>
          <t>calendar_hours</t>
        </is>
      </c>
      <c r="E1" s="1" t="inlineStr">
        <is>
          <t>planned_op_hours</t>
        </is>
      </c>
      <c r="F1" s="1" t="inlineStr">
        <is>
          <t>run_hours</t>
        </is>
      </c>
      <c r="G1" s="1" t="inlineStr">
        <is>
          <t>unplanned_downtime_hours</t>
        </is>
      </c>
      <c r="H1" s="1" t="inlineStr">
        <is>
          <t>ideal_output_t</t>
        </is>
      </c>
      <c r="I1" s="1" t="inlineStr">
        <is>
          <t>installed_capacity_t</t>
        </is>
      </c>
      <c r="J1" s="1" t="inlineStr">
        <is>
          <t>planned_production_t</t>
        </is>
      </c>
      <c r="K1" s="1" t="inlineStr">
        <is>
          <t>gross_output_t</t>
        </is>
      </c>
      <c r="L1" s="1" t="inlineStr">
        <is>
          <t>good_output_t</t>
        </is>
      </c>
      <c r="M1" s="1" t="inlineStr">
        <is>
          <t>feed_input_t</t>
        </is>
      </c>
      <c r="N1" s="1" t="inlineStr">
        <is>
          <t>feed_contained_t</t>
        </is>
      </c>
      <c r="O1" s="1" t="inlineStr">
        <is>
          <t>recovered_contained_t</t>
        </is>
      </c>
      <c r="P1" s="1" t="inlineStr">
        <is>
          <t>prod_loss_downtime_t</t>
        </is>
      </c>
      <c r="Q1" s="1" t="inlineStr">
        <is>
          <t>failures</t>
        </is>
      </c>
      <c r="R1" s="1" t="inlineStr">
        <is>
          <t>repair_hours</t>
        </is>
      </c>
      <c r="S1" s="1" t="inlineStr">
        <is>
          <t>pm_scheduled</t>
        </is>
      </c>
      <c r="T1" s="1" t="inlineStr">
        <is>
          <t>pm_completed</t>
        </is>
      </c>
      <c r="U1" s="1" t="inlineStr">
        <is>
          <t>variable_cost_k</t>
        </is>
      </c>
      <c r="V1" s="1" t="inlineStr">
        <is>
          <t>fuel_cost_k</t>
        </is>
      </c>
      <c r="W1" s="1" t="inlineStr">
        <is>
          <t>fixed_cost_k</t>
        </is>
      </c>
      <c r="X1" s="1" t="inlineStr">
        <is>
          <t>water_m3</t>
        </is>
      </c>
      <c r="Y1" s="1" t="inlineStr">
        <is>
          <t>emissions_tco2e</t>
        </is>
      </c>
      <c r="Z1" s="1" t="inlineStr">
        <is>
          <t>energy_gj</t>
        </is>
      </c>
      <c r="AA1" s="1" t="inlineStr">
        <is>
          <t>production_at_risk_t</t>
        </is>
      </c>
      <c r="AB1" s="1" t="inlineStr">
        <is>
          <t>critical_plant_alerts</t>
        </is>
      </c>
      <c r="AC1" s="1" t="inlineStr">
        <is>
          <t>hours_worked</t>
        </is>
      </c>
      <c r="AD1" s="1" t="inlineStr">
        <is>
          <t>recordable_injuries</t>
        </is>
      </c>
      <c r="AE1" s="1" t="inlineStr">
        <is>
          <t>severity_incidents</t>
        </is>
      </c>
      <c r="AF1" s="1" t="inlineStr">
        <is>
          <t>near_misses</t>
        </is>
      </c>
      <c r="AG1" s="1" t="inlineStr">
        <is>
          <t>critical_safety_incidents</t>
        </is>
      </c>
      <c r="AH1" s="1" t="inlineStr">
        <is>
          <t>env_excursions</t>
        </is>
      </c>
      <c r="AI1" s="1" t="inlineStr">
        <is>
          <t>env_violations</t>
        </is>
      </c>
      <c r="AJ1" s="1" t="inlineStr">
        <is>
          <t>ehs_ca_open</t>
        </is>
      </c>
      <c r="AK1" s="1" t="inlineStr">
        <is>
          <t>ehs_ca_overdue</t>
        </is>
      </c>
      <c r="AL1" s="1" t="inlineStr">
        <is>
          <t>investigations_due</t>
        </is>
      </c>
      <c r="AM1" s="1" t="inlineStr">
        <is>
          <t>investigations_completed</t>
        </is>
      </c>
      <c r="AN1" s="1" t="inlineStr">
        <is>
          <t>critical_material_risks</t>
        </is>
      </c>
      <c r="AO1" s="1" t="inlineStr">
        <is>
          <t>dispatches_total</t>
        </is>
      </c>
      <c r="AP1" s="1" t="inlineStr">
        <is>
          <t>dispatches_delayed</t>
        </is>
      </c>
      <c r="AQ1" s="1" t="inlineStr">
        <is>
          <t>permit_days_to_expiry</t>
        </is>
      </c>
      <c r="AR1" s="2" t="inlineStr">
        <is>
          <t>OPS-001</t>
        </is>
      </c>
      <c r="AS1" s="2" t="inlineStr">
        <is>
          <t>OPS-003</t>
        </is>
      </c>
      <c r="AT1" s="2" t="inlineStr">
        <is>
          <t>PLT-001</t>
        </is>
      </c>
      <c r="AU1" s="2" t="inlineStr">
        <is>
          <t>PLT-002</t>
        </is>
      </c>
      <c r="AV1" s="2" t="inlineStr">
        <is>
          <t>PLT-004</t>
        </is>
      </c>
      <c r="AW1" s="2" t="inlineStr">
        <is>
          <t>PLT-005</t>
        </is>
      </c>
      <c r="AX1" s="2" t="inlineStr">
        <is>
          <t>REL-001</t>
        </is>
      </c>
      <c r="AY1" s="2" t="inlineStr">
        <is>
          <t>REL-002</t>
        </is>
      </c>
      <c r="AZ1" s="2" t="inlineStr">
        <is>
          <t>REL-003</t>
        </is>
      </c>
      <c r="BA1" s="2" t="inlineStr">
        <is>
          <t>REL-004</t>
        </is>
      </c>
      <c r="BB1" s="2" t="inlineStr">
        <is>
          <t>REL-005</t>
        </is>
      </c>
      <c r="BC1" s="2" t="inlineStr">
        <is>
          <t>CST-001</t>
        </is>
      </c>
      <c r="BD1" s="2" t="inlineStr">
        <is>
          <t>CST-002</t>
        </is>
      </c>
      <c r="BE1" s="2" t="inlineStr">
        <is>
          <t>CST-003</t>
        </is>
      </c>
      <c r="BF1" s="2" t="inlineStr">
        <is>
          <t>SUS-001</t>
        </is>
      </c>
      <c r="BG1" s="2" t="inlineStr">
        <is>
          <t>SUS-002</t>
        </is>
      </c>
      <c r="BH1" s="2" t="inlineStr">
        <is>
          <t>SUS-003</t>
        </is>
      </c>
      <c r="BI1" s="2" t="inlineStr">
        <is>
          <t>SIG-007</t>
        </is>
      </c>
      <c r="BJ1" s="2" t="inlineStr">
        <is>
          <t>SIG-008</t>
        </is>
      </c>
      <c r="BK1" s="2" t="inlineStr">
        <is>
          <t>SIG-009</t>
        </is>
      </c>
      <c r="BL1" s="2" t="inlineStr">
        <is>
          <t>SIG-012</t>
        </is>
      </c>
      <c r="BM1" s="2" t="inlineStr">
        <is>
          <t>SIG-021</t>
        </is>
      </c>
      <c r="BN1" s="2" t="inlineStr">
        <is>
          <t>EHS-001</t>
        </is>
      </c>
      <c r="BO1" s="2" t="inlineStr">
        <is>
          <t>EHS-002</t>
        </is>
      </c>
      <c r="BP1" s="2" t="inlineStr">
        <is>
          <t>EHS-003</t>
        </is>
      </c>
      <c r="BQ1" s="2" t="inlineStr">
        <is>
          <t>EHS-004</t>
        </is>
      </c>
      <c r="BR1" s="2" t="inlineStr">
        <is>
          <t>EHS-005</t>
        </is>
      </c>
      <c r="BS1" s="2" t="inlineStr">
        <is>
          <t>EHS-006</t>
        </is>
      </c>
      <c r="BT1" s="2" t="inlineStr">
        <is>
          <t>EHS-007</t>
        </is>
      </c>
      <c r="BU1" s="2" t="inlineStr">
        <is>
          <t>EHS-009</t>
        </is>
      </c>
      <c r="BV1" s="2" t="inlineStr">
        <is>
          <t>REG-006</t>
        </is>
      </c>
    </row>
    <row r="2">
      <c r="A2" t="inlineStr">
        <is>
          <t>Group</t>
        </is>
      </c>
      <c r="B2" t="inlineStr">
        <is>
          <t>Entity A1</t>
        </is>
      </c>
      <c r="C2" t="inlineStr">
        <is>
          <t>2026-04</t>
        </is>
      </c>
      <c r="D2">
        <f>SUMIFS('Plant'!$F$2:$F$37,'Plant'!$B$2:$B$37,$B2,'Plant'!$D$2:$D$37,$C2)</f>
        <v/>
      </c>
      <c r="E2">
        <f>SUMIFS('Plant'!$G$2:$G$37,'Plant'!$B$2:$B$37,$B2,'Plant'!$D$2:$D$37,$C2)</f>
        <v/>
      </c>
      <c r="F2">
        <f>SUMIFS('Plant'!$H$2:$H$37,'Plant'!$B$2:$B$37,$B2,'Plant'!$D$2:$D$37,$C2)</f>
        <v/>
      </c>
      <c r="G2">
        <f>SUMIFS('Plant'!$I$2:$I$37,'Plant'!$B$2:$B$37,$B2,'Plant'!$D$2:$D$37,$C2)</f>
        <v/>
      </c>
      <c r="H2">
        <f>SUMIFS('Plant'!$J$2:$J$37,'Plant'!$B$2:$B$37,$B2,'Plant'!$D$2:$D$37,$C2)</f>
        <v/>
      </c>
      <c r="I2">
        <f>SUMIFS('Plant'!$K$2:$K$37,'Plant'!$B$2:$B$37,$B2,'Plant'!$D$2:$D$37,$C2)</f>
        <v/>
      </c>
      <c r="J2">
        <f>SUMIFS('Plant'!$L$2:$L$37,'Plant'!$B$2:$B$37,$B2,'Plant'!$D$2:$D$37,$C2)</f>
        <v/>
      </c>
      <c r="K2">
        <f>SUMIFS('Plant'!$M$2:$M$37,'Plant'!$B$2:$B$37,$B2,'Plant'!$D$2:$D$37,$C2)</f>
        <v/>
      </c>
      <c r="L2">
        <f>SUMIFS('Plant'!$N$2:$N$37,'Plant'!$B$2:$B$37,$B2,'Plant'!$D$2:$D$37,$C2)</f>
        <v/>
      </c>
      <c r="M2">
        <f>SUMIFS('Plant'!$O$2:$O$37,'Plant'!$B$2:$B$37,$B2,'Plant'!$D$2:$D$37,$C2)</f>
        <v/>
      </c>
      <c r="N2">
        <f>SUMIFS('Plant'!$P$2:$P$37,'Plant'!$B$2:$B$37,$B2,'Plant'!$D$2:$D$37,$C2)</f>
        <v/>
      </c>
      <c r="O2">
        <f>SUMIFS('Plant'!$Q$2:$Q$37,'Plant'!$B$2:$B$37,$B2,'Plant'!$D$2:$D$37,$C2)</f>
        <v/>
      </c>
      <c r="P2">
        <f>SUMIFS('Plant'!$R$2:$R$37,'Plant'!$B$2:$B$37,$B2,'Plant'!$D$2:$D$37,$C2)</f>
        <v/>
      </c>
      <c r="Q2">
        <f>SUMIFS('Plant'!$S$2:$S$37,'Plant'!$B$2:$B$37,$B2,'Plant'!$D$2:$D$37,$C2)</f>
        <v/>
      </c>
      <c r="R2">
        <f>SUMIFS('Plant'!$T$2:$T$37,'Plant'!$B$2:$B$37,$B2,'Plant'!$D$2:$D$37,$C2)</f>
        <v/>
      </c>
      <c r="S2">
        <f>SUMIFS('Plant'!$U$2:$U$37,'Plant'!$B$2:$B$37,$B2,'Plant'!$D$2:$D$37,$C2)</f>
        <v/>
      </c>
      <c r="T2">
        <f>SUMIFS('Plant'!$V$2:$V$37,'Plant'!$B$2:$B$37,$B2,'Plant'!$D$2:$D$37,$C2)</f>
        <v/>
      </c>
      <c r="U2">
        <f>SUMIFS('Plant'!$W$2:$W$37,'Plant'!$B$2:$B$37,$B2,'Plant'!$D$2:$D$37,$C2)</f>
        <v/>
      </c>
      <c r="V2">
        <f>SUMIFS('Plant'!$X$2:$X$37,'Plant'!$B$2:$B$37,$B2,'Plant'!$D$2:$D$37,$C2)</f>
        <v/>
      </c>
      <c r="W2">
        <f>SUMIFS('Plant'!$Y$2:$Y$37,'Plant'!$B$2:$B$37,$B2,'Plant'!$D$2:$D$37,$C2)</f>
        <v/>
      </c>
      <c r="X2">
        <f>SUMIFS('Plant'!$Z$2:$Z$37,'Plant'!$B$2:$B$37,$B2,'Plant'!$D$2:$D$37,$C2)</f>
        <v/>
      </c>
      <c r="Y2">
        <f>SUMIFS('Plant'!$AA$2:$AA$37,'Plant'!$B$2:$B$37,$B2,'Plant'!$D$2:$D$37,$C2)</f>
        <v/>
      </c>
      <c r="Z2">
        <f>SUMIFS('Plant'!$AB$2:$AB$37,'Plant'!$B$2:$B$37,$B2,'Plant'!$D$2:$D$37,$C2)</f>
        <v/>
      </c>
      <c r="AA2">
        <f>SUMIFS('Plant'!$AC$2:$AC$37,'Plant'!$B$2:$B$37,$B2,'Plant'!$D$2:$D$37,$C2)</f>
        <v/>
      </c>
      <c r="AB2">
        <f>SUMIFS('Plant'!$AD$2:$AD$37,'Plant'!$B$2:$B$37,$B2,'Plant'!$D$2:$D$37,$C2)</f>
        <v/>
      </c>
      <c r="AC2">
        <f>SUMIFS('Plant'!$AE$2:$AE$37,'Plant'!$B$2:$B$37,$B2,'Plant'!$D$2:$D$37,$C2)</f>
        <v/>
      </c>
      <c r="AD2">
        <f>SUMIFS('Plant'!$AF$2:$AF$37,'Plant'!$B$2:$B$37,$B2,'Plant'!$D$2:$D$37,$C2)</f>
        <v/>
      </c>
      <c r="AE2">
        <f>SUMIFS('Plant'!$AG$2:$AG$37,'Plant'!$B$2:$B$37,$B2,'Plant'!$D$2:$D$37,$C2)</f>
        <v/>
      </c>
      <c r="AF2">
        <f>SUMIFS('Plant'!$AH$2:$AH$37,'Plant'!$B$2:$B$37,$B2,'Plant'!$D$2:$D$37,$C2)</f>
        <v/>
      </c>
      <c r="AG2">
        <f>SUMIFS('Plant'!$AI$2:$AI$37,'Plant'!$B$2:$B$37,$B2,'Plant'!$D$2:$D$37,$C2)</f>
        <v/>
      </c>
      <c r="AH2">
        <f>SUMIFS('Plant'!$AJ$2:$AJ$37,'Plant'!$B$2:$B$37,$B2,'Plant'!$D$2:$D$37,$C2)</f>
        <v/>
      </c>
      <c r="AI2">
        <f>SUMIFS('Plant'!$AK$2:$AK$37,'Plant'!$B$2:$B$37,$B2,'Plant'!$D$2:$D$37,$C2)</f>
        <v/>
      </c>
      <c r="AJ2">
        <f>SUMIFS('Plant'!$AL$2:$AL$37,'Plant'!$B$2:$B$37,$B2,'Plant'!$D$2:$D$37,$C2)</f>
        <v/>
      </c>
      <c r="AK2">
        <f>SUMIFS('Plant'!$AM$2:$AM$37,'Plant'!$B$2:$B$37,$B2,'Plant'!$D$2:$D$37,$C2)</f>
        <v/>
      </c>
      <c r="AL2">
        <f>SUMIFS('Plant'!$AN$2:$AN$37,'Plant'!$B$2:$B$37,$B2,'Plant'!$D$2:$D$37,$C2)</f>
        <v/>
      </c>
      <c r="AM2">
        <f>SUMIFS('Plant'!$AO$2:$AO$37,'Plant'!$B$2:$B$37,$B2,'Plant'!$D$2:$D$37,$C2)</f>
        <v/>
      </c>
      <c r="AN2">
        <f>SUMIFS('Plant'!$AP$2:$AP$37,'Plant'!$B$2:$B$37,$B2,'Plant'!$D$2:$D$37,$C2)</f>
        <v/>
      </c>
      <c r="AO2">
        <f>SUMIFS('Plant'!$AQ$2:$AQ$37,'Plant'!$B$2:$B$37,$B2,'Plant'!$D$2:$D$37,$C2)</f>
        <v/>
      </c>
      <c r="AP2">
        <f>SUMIFS('Plant'!$AR$2:$AR$37,'Plant'!$B$2:$B$37,$B2,'Plant'!$D$2:$D$37,$C2)</f>
        <v/>
      </c>
      <c r="AQ2">
        <f>MINIFS('Plant'!$AS$2:$AS$37,'Plant'!$B$2:$B$37,$B2,'Plant'!$D$2:$D$37,$C2)</f>
        <v/>
      </c>
      <c r="AR2" s="3">
        <f>IFERROR(100*L2/J2,0)</f>
        <v/>
      </c>
      <c r="AS2" s="3">
        <f>IFERROR(100*L2/I2,0)</f>
        <v/>
      </c>
      <c r="AT2" s="3">
        <f>IFERROR(100*F2/D2,0)</f>
        <v/>
      </c>
      <c r="AU2" s="3">
        <f>IFERROR(100*L2/H2,0)</f>
        <v/>
      </c>
      <c r="AV2" s="3">
        <f>IFERROR(100*O2/N2,0)</f>
        <v/>
      </c>
      <c r="AW2" s="3">
        <f>IFERROR(100*L2/M2,0)</f>
        <v/>
      </c>
      <c r="AX2" s="3">
        <f>IFERROR(F2/Q2,0)</f>
        <v/>
      </c>
      <c r="AY2" s="3">
        <f>IFERROR(R2/Q2,0)</f>
        <v/>
      </c>
      <c r="AZ2" s="3">
        <f>G2</f>
        <v/>
      </c>
      <c r="BA2" s="3">
        <f>P2</f>
        <v/>
      </c>
      <c r="BB2" s="3">
        <f>IFERROR(100*T2/S2,0)</f>
        <v/>
      </c>
      <c r="BC2" s="3">
        <f>IFERROR(1000*(U2+W2)/L2,0)</f>
        <v/>
      </c>
      <c r="BD2" s="3">
        <f>U2</f>
        <v/>
      </c>
      <c r="BE2" s="3">
        <f>V2</f>
        <v/>
      </c>
      <c r="BF2" s="3">
        <f>X2</f>
        <v/>
      </c>
      <c r="BG2" s="3">
        <f>Y2</f>
        <v/>
      </c>
      <c r="BH2" s="3">
        <f>IFERROR(Z2/L2,0)</f>
        <v/>
      </c>
      <c r="BI2" s="3">
        <f>AA2</f>
        <v/>
      </c>
      <c r="BJ2" s="3">
        <f>AB2</f>
        <v/>
      </c>
      <c r="BK2" s="3">
        <f>AN2</f>
        <v/>
      </c>
      <c r="BL2" s="3">
        <f>IFERROR(100*AP2/AO2,0)</f>
        <v/>
      </c>
      <c r="BM2" s="3">
        <f>AI2</f>
        <v/>
      </c>
      <c r="BN2" s="3">
        <f>IFERROR(200000*AD2/AC2,0)</f>
        <v/>
      </c>
      <c r="BO2" s="3">
        <f>AE2</f>
        <v/>
      </c>
      <c r="BP2" s="3">
        <f>AF2</f>
        <v/>
      </c>
      <c r="BQ2" s="3">
        <f>AG2</f>
        <v/>
      </c>
      <c r="BR2" s="3">
        <f>AH2</f>
        <v/>
      </c>
      <c r="BS2" s="3">
        <f>AJ2</f>
        <v/>
      </c>
      <c r="BT2" s="3">
        <f>AK2</f>
        <v/>
      </c>
      <c r="BU2" s="3">
        <f>IF(AL2=0,100,100*AM2/AL2)</f>
        <v/>
      </c>
      <c r="BV2" s="3">
        <f>AQ2</f>
        <v/>
      </c>
    </row>
    <row r="3">
      <c r="A3" t="inlineStr">
        <is>
          <t>Group</t>
        </is>
      </c>
      <c r="B3" t="inlineStr">
        <is>
          <t>Entity A1</t>
        </is>
      </c>
      <c r="C3" t="inlineStr">
        <is>
          <t>2026-05</t>
        </is>
      </c>
      <c r="D3">
        <f>SUMIFS('Plant'!$F$2:$F$37,'Plant'!$B$2:$B$37,$B3,'Plant'!$D$2:$D$37,$C3)</f>
        <v/>
      </c>
      <c r="E3">
        <f>SUMIFS('Plant'!$G$2:$G$37,'Plant'!$B$2:$B$37,$B3,'Plant'!$D$2:$D$37,$C3)</f>
        <v/>
      </c>
      <c r="F3">
        <f>SUMIFS('Plant'!$H$2:$H$37,'Plant'!$B$2:$B$37,$B3,'Plant'!$D$2:$D$37,$C3)</f>
        <v/>
      </c>
      <c r="G3">
        <f>SUMIFS('Plant'!$I$2:$I$37,'Plant'!$B$2:$B$37,$B3,'Plant'!$D$2:$D$37,$C3)</f>
        <v/>
      </c>
      <c r="H3">
        <f>SUMIFS('Plant'!$J$2:$J$37,'Plant'!$B$2:$B$37,$B3,'Plant'!$D$2:$D$37,$C3)</f>
        <v/>
      </c>
      <c r="I3">
        <f>SUMIFS('Plant'!$K$2:$K$37,'Plant'!$B$2:$B$37,$B3,'Plant'!$D$2:$D$37,$C3)</f>
        <v/>
      </c>
      <c r="J3">
        <f>SUMIFS('Plant'!$L$2:$L$37,'Plant'!$B$2:$B$37,$B3,'Plant'!$D$2:$D$37,$C3)</f>
        <v/>
      </c>
      <c r="K3">
        <f>SUMIFS('Plant'!$M$2:$M$37,'Plant'!$B$2:$B$37,$B3,'Plant'!$D$2:$D$37,$C3)</f>
        <v/>
      </c>
      <c r="L3">
        <f>SUMIFS('Plant'!$N$2:$N$37,'Plant'!$B$2:$B$37,$B3,'Plant'!$D$2:$D$37,$C3)</f>
        <v/>
      </c>
      <c r="M3">
        <f>SUMIFS('Plant'!$O$2:$O$37,'Plant'!$B$2:$B$37,$B3,'Plant'!$D$2:$D$37,$C3)</f>
        <v/>
      </c>
      <c r="N3">
        <f>SUMIFS('Plant'!$P$2:$P$37,'Plant'!$B$2:$B$37,$B3,'Plant'!$D$2:$D$37,$C3)</f>
        <v/>
      </c>
      <c r="O3">
        <f>SUMIFS('Plant'!$Q$2:$Q$37,'Plant'!$B$2:$B$37,$B3,'Plant'!$D$2:$D$37,$C3)</f>
        <v/>
      </c>
      <c r="P3">
        <f>SUMIFS('Plant'!$R$2:$R$37,'Plant'!$B$2:$B$37,$B3,'Plant'!$D$2:$D$37,$C3)</f>
        <v/>
      </c>
      <c r="Q3">
        <f>SUMIFS('Plant'!$S$2:$S$37,'Plant'!$B$2:$B$37,$B3,'Plant'!$D$2:$D$37,$C3)</f>
        <v/>
      </c>
      <c r="R3">
        <f>SUMIFS('Plant'!$T$2:$T$37,'Plant'!$B$2:$B$37,$B3,'Plant'!$D$2:$D$37,$C3)</f>
        <v/>
      </c>
      <c r="S3">
        <f>SUMIFS('Plant'!$U$2:$U$37,'Plant'!$B$2:$B$37,$B3,'Plant'!$D$2:$D$37,$C3)</f>
        <v/>
      </c>
      <c r="T3">
        <f>SUMIFS('Plant'!$V$2:$V$37,'Plant'!$B$2:$B$37,$B3,'Plant'!$D$2:$D$37,$C3)</f>
        <v/>
      </c>
      <c r="U3">
        <f>SUMIFS('Plant'!$W$2:$W$37,'Plant'!$B$2:$B$37,$B3,'Plant'!$D$2:$D$37,$C3)</f>
        <v/>
      </c>
      <c r="V3">
        <f>SUMIFS('Plant'!$X$2:$X$37,'Plant'!$B$2:$B$37,$B3,'Plant'!$D$2:$D$37,$C3)</f>
        <v/>
      </c>
      <c r="W3">
        <f>SUMIFS('Plant'!$Y$2:$Y$37,'Plant'!$B$2:$B$37,$B3,'Plant'!$D$2:$D$37,$C3)</f>
        <v/>
      </c>
      <c r="X3">
        <f>SUMIFS('Plant'!$Z$2:$Z$37,'Plant'!$B$2:$B$37,$B3,'Plant'!$D$2:$D$37,$C3)</f>
        <v/>
      </c>
      <c r="Y3">
        <f>SUMIFS('Plant'!$AA$2:$AA$37,'Plant'!$B$2:$B$37,$B3,'Plant'!$D$2:$D$37,$C3)</f>
        <v/>
      </c>
      <c r="Z3">
        <f>SUMIFS('Plant'!$AB$2:$AB$37,'Plant'!$B$2:$B$37,$B3,'Plant'!$D$2:$D$37,$C3)</f>
        <v/>
      </c>
      <c r="AA3">
        <f>SUMIFS('Plant'!$AC$2:$AC$37,'Plant'!$B$2:$B$37,$B3,'Plant'!$D$2:$D$37,$C3)</f>
        <v/>
      </c>
      <c r="AB3">
        <f>SUMIFS('Plant'!$AD$2:$AD$37,'Plant'!$B$2:$B$37,$B3,'Plant'!$D$2:$D$37,$C3)</f>
        <v/>
      </c>
      <c r="AC3">
        <f>SUMIFS('Plant'!$AE$2:$AE$37,'Plant'!$B$2:$B$37,$B3,'Plant'!$D$2:$D$37,$C3)</f>
        <v/>
      </c>
      <c r="AD3">
        <f>SUMIFS('Plant'!$AF$2:$AF$37,'Plant'!$B$2:$B$37,$B3,'Plant'!$D$2:$D$37,$C3)</f>
        <v/>
      </c>
      <c r="AE3">
        <f>SUMIFS('Plant'!$AG$2:$AG$37,'Plant'!$B$2:$B$37,$B3,'Plant'!$D$2:$D$37,$C3)</f>
        <v/>
      </c>
      <c r="AF3">
        <f>SUMIFS('Plant'!$AH$2:$AH$37,'Plant'!$B$2:$B$37,$B3,'Plant'!$D$2:$D$37,$C3)</f>
        <v/>
      </c>
      <c r="AG3">
        <f>SUMIFS('Plant'!$AI$2:$AI$37,'Plant'!$B$2:$B$37,$B3,'Plant'!$D$2:$D$37,$C3)</f>
        <v/>
      </c>
      <c r="AH3">
        <f>SUMIFS('Plant'!$AJ$2:$AJ$37,'Plant'!$B$2:$B$37,$B3,'Plant'!$D$2:$D$37,$C3)</f>
        <v/>
      </c>
      <c r="AI3">
        <f>SUMIFS('Plant'!$AK$2:$AK$37,'Plant'!$B$2:$B$37,$B3,'Plant'!$D$2:$D$37,$C3)</f>
        <v/>
      </c>
      <c r="AJ3">
        <f>SUMIFS('Plant'!$AL$2:$AL$37,'Plant'!$B$2:$B$37,$B3,'Plant'!$D$2:$D$37,$C3)</f>
        <v/>
      </c>
      <c r="AK3">
        <f>SUMIFS('Plant'!$AM$2:$AM$37,'Plant'!$B$2:$B$37,$B3,'Plant'!$D$2:$D$37,$C3)</f>
        <v/>
      </c>
      <c r="AL3">
        <f>SUMIFS('Plant'!$AN$2:$AN$37,'Plant'!$B$2:$B$37,$B3,'Plant'!$D$2:$D$37,$C3)</f>
        <v/>
      </c>
      <c r="AM3">
        <f>SUMIFS('Plant'!$AO$2:$AO$37,'Plant'!$B$2:$B$37,$B3,'Plant'!$D$2:$D$37,$C3)</f>
        <v/>
      </c>
      <c r="AN3">
        <f>SUMIFS('Plant'!$AP$2:$AP$37,'Plant'!$B$2:$B$37,$B3,'Plant'!$D$2:$D$37,$C3)</f>
        <v/>
      </c>
      <c r="AO3">
        <f>SUMIFS('Plant'!$AQ$2:$AQ$37,'Plant'!$B$2:$B$37,$B3,'Plant'!$D$2:$D$37,$C3)</f>
        <v/>
      </c>
      <c r="AP3">
        <f>SUMIFS('Plant'!$AR$2:$AR$37,'Plant'!$B$2:$B$37,$B3,'Plant'!$D$2:$D$37,$C3)</f>
        <v/>
      </c>
      <c r="AQ3">
        <f>MINIFS('Plant'!$AS$2:$AS$37,'Plant'!$B$2:$B$37,$B3,'Plant'!$D$2:$D$37,$C3)</f>
        <v/>
      </c>
      <c r="AR3" s="3">
        <f>IFERROR(100*L3/J3,0)</f>
        <v/>
      </c>
      <c r="AS3" s="3">
        <f>IFERROR(100*L3/I3,0)</f>
        <v/>
      </c>
      <c r="AT3" s="3">
        <f>IFERROR(100*F3/D3,0)</f>
        <v/>
      </c>
      <c r="AU3" s="3">
        <f>IFERROR(100*L3/H3,0)</f>
        <v/>
      </c>
      <c r="AV3" s="3">
        <f>IFERROR(100*O3/N3,0)</f>
        <v/>
      </c>
      <c r="AW3" s="3">
        <f>IFERROR(100*L3/M3,0)</f>
        <v/>
      </c>
      <c r="AX3" s="3">
        <f>IFERROR(F3/Q3,0)</f>
        <v/>
      </c>
      <c r="AY3" s="3">
        <f>IFERROR(R3/Q3,0)</f>
        <v/>
      </c>
      <c r="AZ3" s="3">
        <f>G3</f>
        <v/>
      </c>
      <c r="BA3" s="3">
        <f>P3</f>
        <v/>
      </c>
      <c r="BB3" s="3">
        <f>IFERROR(100*T3/S3,0)</f>
        <v/>
      </c>
      <c r="BC3" s="3">
        <f>IFERROR(1000*(U3+W3)/L3,0)</f>
        <v/>
      </c>
      <c r="BD3" s="3">
        <f>U3</f>
        <v/>
      </c>
      <c r="BE3" s="3">
        <f>V3</f>
        <v/>
      </c>
      <c r="BF3" s="3">
        <f>X3</f>
        <v/>
      </c>
      <c r="BG3" s="3">
        <f>Y3</f>
        <v/>
      </c>
      <c r="BH3" s="3">
        <f>IFERROR(Z3/L3,0)</f>
        <v/>
      </c>
      <c r="BI3" s="3">
        <f>AA3</f>
        <v/>
      </c>
      <c r="BJ3" s="3">
        <f>AB3</f>
        <v/>
      </c>
      <c r="BK3" s="3">
        <f>AN3</f>
        <v/>
      </c>
      <c r="BL3" s="3">
        <f>IFERROR(100*AP3/AO3,0)</f>
        <v/>
      </c>
      <c r="BM3" s="3">
        <f>AI3</f>
        <v/>
      </c>
      <c r="BN3" s="3">
        <f>IFERROR(200000*AD3/AC3,0)</f>
        <v/>
      </c>
      <c r="BO3" s="3">
        <f>AE3</f>
        <v/>
      </c>
      <c r="BP3" s="3">
        <f>AF3</f>
        <v/>
      </c>
      <c r="BQ3" s="3">
        <f>AG3</f>
        <v/>
      </c>
      <c r="BR3" s="3">
        <f>AH3</f>
        <v/>
      </c>
      <c r="BS3" s="3">
        <f>AJ3</f>
        <v/>
      </c>
      <c r="BT3" s="3">
        <f>AK3</f>
        <v/>
      </c>
      <c r="BU3" s="3">
        <f>IF(AL3=0,100,100*AM3/AL3)</f>
        <v/>
      </c>
      <c r="BV3" s="3">
        <f>AQ3</f>
        <v/>
      </c>
    </row>
    <row r="4">
      <c r="A4" t="inlineStr">
        <is>
          <t>Group</t>
        </is>
      </c>
      <c r="B4" t="inlineStr">
        <is>
          <t>Entity A1</t>
        </is>
      </c>
      <c r="C4" t="inlineStr">
        <is>
          <t>2026-06</t>
        </is>
      </c>
      <c r="D4">
        <f>SUMIFS('Plant'!$F$2:$F$37,'Plant'!$B$2:$B$37,$B4,'Plant'!$D$2:$D$37,$C4)</f>
        <v/>
      </c>
      <c r="E4">
        <f>SUMIFS('Plant'!$G$2:$G$37,'Plant'!$B$2:$B$37,$B4,'Plant'!$D$2:$D$37,$C4)</f>
        <v/>
      </c>
      <c r="F4">
        <f>SUMIFS('Plant'!$H$2:$H$37,'Plant'!$B$2:$B$37,$B4,'Plant'!$D$2:$D$37,$C4)</f>
        <v/>
      </c>
      <c r="G4">
        <f>SUMIFS('Plant'!$I$2:$I$37,'Plant'!$B$2:$B$37,$B4,'Plant'!$D$2:$D$37,$C4)</f>
        <v/>
      </c>
      <c r="H4">
        <f>SUMIFS('Plant'!$J$2:$J$37,'Plant'!$B$2:$B$37,$B4,'Plant'!$D$2:$D$37,$C4)</f>
        <v/>
      </c>
      <c r="I4">
        <f>SUMIFS('Plant'!$K$2:$K$37,'Plant'!$B$2:$B$37,$B4,'Plant'!$D$2:$D$37,$C4)</f>
        <v/>
      </c>
      <c r="J4">
        <f>SUMIFS('Plant'!$L$2:$L$37,'Plant'!$B$2:$B$37,$B4,'Plant'!$D$2:$D$37,$C4)</f>
        <v/>
      </c>
      <c r="K4">
        <f>SUMIFS('Plant'!$M$2:$M$37,'Plant'!$B$2:$B$37,$B4,'Plant'!$D$2:$D$37,$C4)</f>
        <v/>
      </c>
      <c r="L4">
        <f>SUMIFS('Plant'!$N$2:$N$37,'Plant'!$B$2:$B$37,$B4,'Plant'!$D$2:$D$37,$C4)</f>
        <v/>
      </c>
      <c r="M4">
        <f>SUMIFS('Plant'!$O$2:$O$37,'Plant'!$B$2:$B$37,$B4,'Plant'!$D$2:$D$37,$C4)</f>
        <v/>
      </c>
      <c r="N4">
        <f>SUMIFS('Plant'!$P$2:$P$37,'Plant'!$B$2:$B$37,$B4,'Plant'!$D$2:$D$37,$C4)</f>
        <v/>
      </c>
      <c r="O4">
        <f>SUMIFS('Plant'!$Q$2:$Q$37,'Plant'!$B$2:$B$37,$B4,'Plant'!$D$2:$D$37,$C4)</f>
        <v/>
      </c>
      <c r="P4">
        <f>SUMIFS('Plant'!$R$2:$R$37,'Plant'!$B$2:$B$37,$B4,'Plant'!$D$2:$D$37,$C4)</f>
        <v/>
      </c>
      <c r="Q4">
        <f>SUMIFS('Plant'!$S$2:$S$37,'Plant'!$B$2:$B$37,$B4,'Plant'!$D$2:$D$37,$C4)</f>
        <v/>
      </c>
      <c r="R4">
        <f>SUMIFS('Plant'!$T$2:$T$37,'Plant'!$B$2:$B$37,$B4,'Plant'!$D$2:$D$37,$C4)</f>
        <v/>
      </c>
      <c r="S4">
        <f>SUMIFS('Plant'!$U$2:$U$37,'Plant'!$B$2:$B$37,$B4,'Plant'!$D$2:$D$37,$C4)</f>
        <v/>
      </c>
      <c r="T4">
        <f>SUMIFS('Plant'!$V$2:$V$37,'Plant'!$B$2:$B$37,$B4,'Plant'!$D$2:$D$37,$C4)</f>
        <v/>
      </c>
      <c r="U4">
        <f>SUMIFS('Plant'!$W$2:$W$37,'Plant'!$B$2:$B$37,$B4,'Plant'!$D$2:$D$37,$C4)</f>
        <v/>
      </c>
      <c r="V4">
        <f>SUMIFS('Plant'!$X$2:$X$37,'Plant'!$B$2:$B$37,$B4,'Plant'!$D$2:$D$37,$C4)</f>
        <v/>
      </c>
      <c r="W4">
        <f>SUMIFS('Plant'!$Y$2:$Y$37,'Plant'!$B$2:$B$37,$B4,'Plant'!$D$2:$D$37,$C4)</f>
        <v/>
      </c>
      <c r="X4">
        <f>SUMIFS('Plant'!$Z$2:$Z$37,'Plant'!$B$2:$B$37,$B4,'Plant'!$D$2:$D$37,$C4)</f>
        <v/>
      </c>
      <c r="Y4">
        <f>SUMIFS('Plant'!$AA$2:$AA$37,'Plant'!$B$2:$B$37,$B4,'Plant'!$D$2:$D$37,$C4)</f>
        <v/>
      </c>
      <c r="Z4">
        <f>SUMIFS('Plant'!$AB$2:$AB$37,'Plant'!$B$2:$B$37,$B4,'Plant'!$D$2:$D$37,$C4)</f>
        <v/>
      </c>
      <c r="AA4">
        <f>SUMIFS('Plant'!$AC$2:$AC$37,'Plant'!$B$2:$B$37,$B4,'Plant'!$D$2:$D$37,$C4)</f>
        <v/>
      </c>
      <c r="AB4">
        <f>SUMIFS('Plant'!$AD$2:$AD$37,'Plant'!$B$2:$B$37,$B4,'Plant'!$D$2:$D$37,$C4)</f>
        <v/>
      </c>
      <c r="AC4">
        <f>SUMIFS('Plant'!$AE$2:$AE$37,'Plant'!$B$2:$B$37,$B4,'Plant'!$D$2:$D$37,$C4)</f>
        <v/>
      </c>
      <c r="AD4">
        <f>SUMIFS('Plant'!$AF$2:$AF$37,'Plant'!$B$2:$B$37,$B4,'Plant'!$D$2:$D$37,$C4)</f>
        <v/>
      </c>
      <c r="AE4">
        <f>SUMIFS('Plant'!$AG$2:$AG$37,'Plant'!$B$2:$B$37,$B4,'Plant'!$D$2:$D$37,$C4)</f>
        <v/>
      </c>
      <c r="AF4">
        <f>SUMIFS('Plant'!$AH$2:$AH$37,'Plant'!$B$2:$B$37,$B4,'Plant'!$D$2:$D$37,$C4)</f>
        <v/>
      </c>
      <c r="AG4">
        <f>SUMIFS('Plant'!$AI$2:$AI$37,'Plant'!$B$2:$B$37,$B4,'Plant'!$D$2:$D$37,$C4)</f>
        <v/>
      </c>
      <c r="AH4">
        <f>SUMIFS('Plant'!$AJ$2:$AJ$37,'Plant'!$B$2:$B$37,$B4,'Plant'!$D$2:$D$37,$C4)</f>
        <v/>
      </c>
      <c r="AI4">
        <f>SUMIFS('Plant'!$AK$2:$AK$37,'Plant'!$B$2:$B$37,$B4,'Plant'!$D$2:$D$37,$C4)</f>
        <v/>
      </c>
      <c r="AJ4">
        <f>SUMIFS('Plant'!$AL$2:$AL$37,'Plant'!$B$2:$B$37,$B4,'Plant'!$D$2:$D$37,$C4)</f>
        <v/>
      </c>
      <c r="AK4">
        <f>SUMIFS('Plant'!$AM$2:$AM$37,'Plant'!$B$2:$B$37,$B4,'Plant'!$D$2:$D$37,$C4)</f>
        <v/>
      </c>
      <c r="AL4">
        <f>SUMIFS('Plant'!$AN$2:$AN$37,'Plant'!$B$2:$B$37,$B4,'Plant'!$D$2:$D$37,$C4)</f>
        <v/>
      </c>
      <c r="AM4">
        <f>SUMIFS('Plant'!$AO$2:$AO$37,'Plant'!$B$2:$B$37,$B4,'Plant'!$D$2:$D$37,$C4)</f>
        <v/>
      </c>
      <c r="AN4">
        <f>SUMIFS('Plant'!$AP$2:$AP$37,'Plant'!$B$2:$B$37,$B4,'Plant'!$D$2:$D$37,$C4)</f>
        <v/>
      </c>
      <c r="AO4">
        <f>SUMIFS('Plant'!$AQ$2:$AQ$37,'Plant'!$B$2:$B$37,$B4,'Plant'!$D$2:$D$37,$C4)</f>
        <v/>
      </c>
      <c r="AP4">
        <f>SUMIFS('Plant'!$AR$2:$AR$37,'Plant'!$B$2:$B$37,$B4,'Plant'!$D$2:$D$37,$C4)</f>
        <v/>
      </c>
      <c r="AQ4">
        <f>MINIFS('Plant'!$AS$2:$AS$37,'Plant'!$B$2:$B$37,$B4,'Plant'!$D$2:$D$37,$C4)</f>
        <v/>
      </c>
      <c r="AR4" s="3">
        <f>IFERROR(100*L4/J4,0)</f>
        <v/>
      </c>
      <c r="AS4" s="3">
        <f>IFERROR(100*L4/I4,0)</f>
        <v/>
      </c>
      <c r="AT4" s="3">
        <f>IFERROR(100*F4/D4,0)</f>
        <v/>
      </c>
      <c r="AU4" s="3">
        <f>IFERROR(100*L4/H4,0)</f>
        <v/>
      </c>
      <c r="AV4" s="3">
        <f>IFERROR(100*O4/N4,0)</f>
        <v/>
      </c>
      <c r="AW4" s="3">
        <f>IFERROR(100*L4/M4,0)</f>
        <v/>
      </c>
      <c r="AX4" s="3">
        <f>IFERROR(F4/Q4,0)</f>
        <v/>
      </c>
      <c r="AY4" s="3">
        <f>IFERROR(R4/Q4,0)</f>
        <v/>
      </c>
      <c r="AZ4" s="3">
        <f>G4</f>
        <v/>
      </c>
      <c r="BA4" s="3">
        <f>P4</f>
        <v/>
      </c>
      <c r="BB4" s="3">
        <f>IFERROR(100*T4/S4,0)</f>
        <v/>
      </c>
      <c r="BC4" s="3">
        <f>IFERROR(1000*(U4+W4)/L4,0)</f>
        <v/>
      </c>
      <c r="BD4" s="3">
        <f>U4</f>
        <v/>
      </c>
      <c r="BE4" s="3">
        <f>V4</f>
        <v/>
      </c>
      <c r="BF4" s="3">
        <f>X4</f>
        <v/>
      </c>
      <c r="BG4" s="3">
        <f>Y4</f>
        <v/>
      </c>
      <c r="BH4" s="3">
        <f>IFERROR(Z4/L4,0)</f>
        <v/>
      </c>
      <c r="BI4" s="3">
        <f>AA4</f>
        <v/>
      </c>
      <c r="BJ4" s="3">
        <f>AB4</f>
        <v/>
      </c>
      <c r="BK4" s="3">
        <f>AN4</f>
        <v/>
      </c>
      <c r="BL4" s="3">
        <f>IFERROR(100*AP4/AO4,0)</f>
        <v/>
      </c>
      <c r="BM4" s="3">
        <f>AI4</f>
        <v/>
      </c>
      <c r="BN4" s="3">
        <f>IFERROR(200000*AD4/AC4,0)</f>
        <v/>
      </c>
      <c r="BO4" s="3">
        <f>AE4</f>
        <v/>
      </c>
      <c r="BP4" s="3">
        <f>AF4</f>
        <v/>
      </c>
      <c r="BQ4" s="3">
        <f>AG4</f>
        <v/>
      </c>
      <c r="BR4" s="3">
        <f>AH4</f>
        <v/>
      </c>
      <c r="BS4" s="3">
        <f>AJ4</f>
        <v/>
      </c>
      <c r="BT4" s="3">
        <f>AK4</f>
        <v/>
      </c>
      <c r="BU4" s="3">
        <f>IF(AL4=0,100,100*AM4/AL4)</f>
        <v/>
      </c>
      <c r="BV4" s="3">
        <f>AQ4</f>
        <v/>
      </c>
    </row>
    <row r="5">
      <c r="A5" t="inlineStr">
        <is>
          <t>Group</t>
        </is>
      </c>
      <c r="B5" t="inlineStr">
        <is>
          <t>Entity A1</t>
        </is>
      </c>
      <c r="C5" t="inlineStr">
        <is>
          <t>2026-07</t>
        </is>
      </c>
      <c r="D5">
        <f>SUMIFS('Plant'!$F$2:$F$37,'Plant'!$B$2:$B$37,$B5,'Plant'!$D$2:$D$37,$C5)</f>
        <v/>
      </c>
      <c r="E5">
        <f>SUMIFS('Plant'!$G$2:$G$37,'Plant'!$B$2:$B$37,$B5,'Plant'!$D$2:$D$37,$C5)</f>
        <v/>
      </c>
      <c r="F5">
        <f>SUMIFS('Plant'!$H$2:$H$37,'Plant'!$B$2:$B$37,$B5,'Plant'!$D$2:$D$37,$C5)</f>
        <v/>
      </c>
      <c r="G5">
        <f>SUMIFS('Plant'!$I$2:$I$37,'Plant'!$B$2:$B$37,$B5,'Plant'!$D$2:$D$37,$C5)</f>
        <v/>
      </c>
      <c r="H5">
        <f>SUMIFS('Plant'!$J$2:$J$37,'Plant'!$B$2:$B$37,$B5,'Plant'!$D$2:$D$37,$C5)</f>
        <v/>
      </c>
      <c r="I5">
        <f>SUMIFS('Plant'!$K$2:$K$37,'Plant'!$B$2:$B$37,$B5,'Plant'!$D$2:$D$37,$C5)</f>
        <v/>
      </c>
      <c r="J5">
        <f>SUMIFS('Plant'!$L$2:$L$37,'Plant'!$B$2:$B$37,$B5,'Plant'!$D$2:$D$37,$C5)</f>
        <v/>
      </c>
      <c r="K5">
        <f>SUMIFS('Plant'!$M$2:$M$37,'Plant'!$B$2:$B$37,$B5,'Plant'!$D$2:$D$37,$C5)</f>
        <v/>
      </c>
      <c r="L5">
        <f>SUMIFS('Plant'!$N$2:$N$37,'Plant'!$B$2:$B$37,$B5,'Plant'!$D$2:$D$37,$C5)</f>
        <v/>
      </c>
      <c r="M5">
        <f>SUMIFS('Plant'!$O$2:$O$37,'Plant'!$B$2:$B$37,$B5,'Plant'!$D$2:$D$37,$C5)</f>
        <v/>
      </c>
      <c r="N5">
        <f>SUMIFS('Plant'!$P$2:$P$37,'Plant'!$B$2:$B$37,$B5,'Plant'!$D$2:$D$37,$C5)</f>
        <v/>
      </c>
      <c r="O5">
        <f>SUMIFS('Plant'!$Q$2:$Q$37,'Plant'!$B$2:$B$37,$B5,'Plant'!$D$2:$D$37,$C5)</f>
        <v/>
      </c>
      <c r="P5">
        <f>SUMIFS('Plant'!$R$2:$R$37,'Plant'!$B$2:$B$37,$B5,'Plant'!$D$2:$D$37,$C5)</f>
        <v/>
      </c>
      <c r="Q5">
        <f>SUMIFS('Plant'!$S$2:$S$37,'Plant'!$B$2:$B$37,$B5,'Plant'!$D$2:$D$37,$C5)</f>
        <v/>
      </c>
      <c r="R5">
        <f>SUMIFS('Plant'!$T$2:$T$37,'Plant'!$B$2:$B$37,$B5,'Plant'!$D$2:$D$37,$C5)</f>
        <v/>
      </c>
      <c r="S5">
        <f>SUMIFS('Plant'!$U$2:$U$37,'Plant'!$B$2:$B$37,$B5,'Plant'!$D$2:$D$37,$C5)</f>
        <v/>
      </c>
      <c r="T5">
        <f>SUMIFS('Plant'!$V$2:$V$37,'Plant'!$B$2:$B$37,$B5,'Plant'!$D$2:$D$37,$C5)</f>
        <v/>
      </c>
      <c r="U5">
        <f>SUMIFS('Plant'!$W$2:$W$37,'Plant'!$B$2:$B$37,$B5,'Plant'!$D$2:$D$37,$C5)</f>
        <v/>
      </c>
      <c r="V5">
        <f>SUMIFS('Plant'!$X$2:$X$37,'Plant'!$B$2:$B$37,$B5,'Plant'!$D$2:$D$37,$C5)</f>
        <v/>
      </c>
      <c r="W5">
        <f>SUMIFS('Plant'!$Y$2:$Y$37,'Plant'!$B$2:$B$37,$B5,'Plant'!$D$2:$D$37,$C5)</f>
        <v/>
      </c>
      <c r="X5">
        <f>SUMIFS('Plant'!$Z$2:$Z$37,'Plant'!$B$2:$B$37,$B5,'Plant'!$D$2:$D$37,$C5)</f>
        <v/>
      </c>
      <c r="Y5">
        <f>SUMIFS('Plant'!$AA$2:$AA$37,'Plant'!$B$2:$B$37,$B5,'Plant'!$D$2:$D$37,$C5)</f>
        <v/>
      </c>
      <c r="Z5">
        <f>SUMIFS('Plant'!$AB$2:$AB$37,'Plant'!$B$2:$B$37,$B5,'Plant'!$D$2:$D$37,$C5)</f>
        <v/>
      </c>
      <c r="AA5">
        <f>SUMIFS('Plant'!$AC$2:$AC$37,'Plant'!$B$2:$B$37,$B5,'Plant'!$D$2:$D$37,$C5)</f>
        <v/>
      </c>
      <c r="AB5">
        <f>SUMIFS('Plant'!$AD$2:$AD$37,'Plant'!$B$2:$B$37,$B5,'Plant'!$D$2:$D$37,$C5)</f>
        <v/>
      </c>
      <c r="AC5">
        <f>SUMIFS('Plant'!$AE$2:$AE$37,'Plant'!$B$2:$B$37,$B5,'Plant'!$D$2:$D$37,$C5)</f>
        <v/>
      </c>
      <c r="AD5">
        <f>SUMIFS('Plant'!$AF$2:$AF$37,'Plant'!$B$2:$B$37,$B5,'Plant'!$D$2:$D$37,$C5)</f>
        <v/>
      </c>
      <c r="AE5">
        <f>SUMIFS('Plant'!$AG$2:$AG$37,'Plant'!$B$2:$B$37,$B5,'Plant'!$D$2:$D$37,$C5)</f>
        <v/>
      </c>
      <c r="AF5">
        <f>SUMIFS('Plant'!$AH$2:$AH$37,'Plant'!$B$2:$B$37,$B5,'Plant'!$D$2:$D$37,$C5)</f>
        <v/>
      </c>
      <c r="AG5">
        <f>SUMIFS('Plant'!$AI$2:$AI$37,'Plant'!$B$2:$B$37,$B5,'Plant'!$D$2:$D$37,$C5)</f>
        <v/>
      </c>
      <c r="AH5">
        <f>SUMIFS('Plant'!$AJ$2:$AJ$37,'Plant'!$B$2:$B$37,$B5,'Plant'!$D$2:$D$37,$C5)</f>
        <v/>
      </c>
      <c r="AI5">
        <f>SUMIFS('Plant'!$AK$2:$AK$37,'Plant'!$B$2:$B$37,$B5,'Plant'!$D$2:$D$37,$C5)</f>
        <v/>
      </c>
      <c r="AJ5">
        <f>SUMIFS('Plant'!$AL$2:$AL$37,'Plant'!$B$2:$B$37,$B5,'Plant'!$D$2:$D$37,$C5)</f>
        <v/>
      </c>
      <c r="AK5">
        <f>SUMIFS('Plant'!$AM$2:$AM$37,'Plant'!$B$2:$B$37,$B5,'Plant'!$D$2:$D$37,$C5)</f>
        <v/>
      </c>
      <c r="AL5">
        <f>SUMIFS('Plant'!$AN$2:$AN$37,'Plant'!$B$2:$B$37,$B5,'Plant'!$D$2:$D$37,$C5)</f>
        <v/>
      </c>
      <c r="AM5">
        <f>SUMIFS('Plant'!$AO$2:$AO$37,'Plant'!$B$2:$B$37,$B5,'Plant'!$D$2:$D$37,$C5)</f>
        <v/>
      </c>
      <c r="AN5">
        <f>SUMIFS('Plant'!$AP$2:$AP$37,'Plant'!$B$2:$B$37,$B5,'Plant'!$D$2:$D$37,$C5)</f>
        <v/>
      </c>
      <c r="AO5">
        <f>SUMIFS('Plant'!$AQ$2:$AQ$37,'Plant'!$B$2:$B$37,$B5,'Plant'!$D$2:$D$37,$C5)</f>
        <v/>
      </c>
      <c r="AP5">
        <f>SUMIFS('Plant'!$AR$2:$AR$37,'Plant'!$B$2:$B$37,$B5,'Plant'!$D$2:$D$37,$C5)</f>
        <v/>
      </c>
      <c r="AQ5">
        <f>MINIFS('Plant'!$AS$2:$AS$37,'Plant'!$B$2:$B$37,$B5,'Plant'!$D$2:$D$37,$C5)</f>
        <v/>
      </c>
      <c r="AR5" s="3">
        <f>IFERROR(100*L5/J5,0)</f>
        <v/>
      </c>
      <c r="AS5" s="3">
        <f>IFERROR(100*L5/I5,0)</f>
        <v/>
      </c>
      <c r="AT5" s="3">
        <f>IFERROR(100*F5/D5,0)</f>
        <v/>
      </c>
      <c r="AU5" s="3">
        <f>IFERROR(100*L5/H5,0)</f>
        <v/>
      </c>
      <c r="AV5" s="3">
        <f>IFERROR(100*O5/N5,0)</f>
        <v/>
      </c>
      <c r="AW5" s="3">
        <f>IFERROR(100*L5/M5,0)</f>
        <v/>
      </c>
      <c r="AX5" s="3">
        <f>IFERROR(F5/Q5,0)</f>
        <v/>
      </c>
      <c r="AY5" s="3">
        <f>IFERROR(R5/Q5,0)</f>
        <v/>
      </c>
      <c r="AZ5" s="3">
        <f>G5</f>
        <v/>
      </c>
      <c r="BA5" s="3">
        <f>P5</f>
        <v/>
      </c>
      <c r="BB5" s="3">
        <f>IFERROR(100*T5/S5,0)</f>
        <v/>
      </c>
      <c r="BC5" s="3">
        <f>IFERROR(1000*(U5+W5)/L5,0)</f>
        <v/>
      </c>
      <c r="BD5" s="3">
        <f>U5</f>
        <v/>
      </c>
      <c r="BE5" s="3">
        <f>V5</f>
        <v/>
      </c>
      <c r="BF5" s="3">
        <f>X5</f>
        <v/>
      </c>
      <c r="BG5" s="3">
        <f>Y5</f>
        <v/>
      </c>
      <c r="BH5" s="3">
        <f>IFERROR(Z5/L5,0)</f>
        <v/>
      </c>
      <c r="BI5" s="3">
        <f>AA5</f>
        <v/>
      </c>
      <c r="BJ5" s="3">
        <f>AB5</f>
        <v/>
      </c>
      <c r="BK5" s="3">
        <f>AN5</f>
        <v/>
      </c>
      <c r="BL5" s="3">
        <f>IFERROR(100*AP5/AO5,0)</f>
        <v/>
      </c>
      <c r="BM5" s="3">
        <f>AI5</f>
        <v/>
      </c>
      <c r="BN5" s="3">
        <f>IFERROR(200000*AD5/AC5,0)</f>
        <v/>
      </c>
      <c r="BO5" s="3">
        <f>AE5</f>
        <v/>
      </c>
      <c r="BP5" s="3">
        <f>AF5</f>
        <v/>
      </c>
      <c r="BQ5" s="3">
        <f>AG5</f>
        <v/>
      </c>
      <c r="BR5" s="3">
        <f>AH5</f>
        <v/>
      </c>
      <c r="BS5" s="3">
        <f>AJ5</f>
        <v/>
      </c>
      <c r="BT5" s="3">
        <f>AK5</f>
        <v/>
      </c>
      <c r="BU5" s="3">
        <f>IF(AL5=0,100,100*AM5/AL5)</f>
        <v/>
      </c>
      <c r="BV5" s="3">
        <f>AQ5</f>
        <v/>
      </c>
    </row>
    <row r="6">
      <c r="A6" t="inlineStr">
        <is>
          <t>Group</t>
        </is>
      </c>
      <c r="B6" t="inlineStr">
        <is>
          <t>Entity A1</t>
        </is>
      </c>
      <c r="C6" t="inlineStr">
        <is>
          <t>2026-08</t>
        </is>
      </c>
      <c r="D6">
        <f>SUMIFS('Plant'!$F$2:$F$37,'Plant'!$B$2:$B$37,$B6,'Plant'!$D$2:$D$37,$C6)</f>
        <v/>
      </c>
      <c r="E6">
        <f>SUMIFS('Plant'!$G$2:$G$37,'Plant'!$B$2:$B$37,$B6,'Plant'!$D$2:$D$37,$C6)</f>
        <v/>
      </c>
      <c r="F6">
        <f>SUMIFS('Plant'!$H$2:$H$37,'Plant'!$B$2:$B$37,$B6,'Plant'!$D$2:$D$37,$C6)</f>
        <v/>
      </c>
      <c r="G6">
        <f>SUMIFS('Plant'!$I$2:$I$37,'Plant'!$B$2:$B$37,$B6,'Plant'!$D$2:$D$37,$C6)</f>
        <v/>
      </c>
      <c r="H6">
        <f>SUMIFS('Plant'!$J$2:$J$37,'Plant'!$B$2:$B$37,$B6,'Plant'!$D$2:$D$37,$C6)</f>
        <v/>
      </c>
      <c r="I6">
        <f>SUMIFS('Plant'!$K$2:$K$37,'Plant'!$B$2:$B$37,$B6,'Plant'!$D$2:$D$37,$C6)</f>
        <v/>
      </c>
      <c r="J6">
        <f>SUMIFS('Plant'!$L$2:$L$37,'Plant'!$B$2:$B$37,$B6,'Plant'!$D$2:$D$37,$C6)</f>
        <v/>
      </c>
      <c r="K6">
        <f>SUMIFS('Plant'!$M$2:$M$37,'Plant'!$B$2:$B$37,$B6,'Plant'!$D$2:$D$37,$C6)</f>
        <v/>
      </c>
      <c r="L6">
        <f>SUMIFS('Plant'!$N$2:$N$37,'Plant'!$B$2:$B$37,$B6,'Plant'!$D$2:$D$37,$C6)</f>
        <v/>
      </c>
      <c r="M6">
        <f>SUMIFS('Plant'!$O$2:$O$37,'Plant'!$B$2:$B$37,$B6,'Plant'!$D$2:$D$37,$C6)</f>
        <v/>
      </c>
      <c r="N6">
        <f>SUMIFS('Plant'!$P$2:$P$37,'Plant'!$B$2:$B$37,$B6,'Plant'!$D$2:$D$37,$C6)</f>
        <v/>
      </c>
      <c r="O6">
        <f>SUMIFS('Plant'!$Q$2:$Q$37,'Plant'!$B$2:$B$37,$B6,'Plant'!$D$2:$D$37,$C6)</f>
        <v/>
      </c>
      <c r="P6">
        <f>SUMIFS('Plant'!$R$2:$R$37,'Plant'!$B$2:$B$37,$B6,'Plant'!$D$2:$D$37,$C6)</f>
        <v/>
      </c>
      <c r="Q6">
        <f>SUMIFS('Plant'!$S$2:$S$37,'Plant'!$B$2:$B$37,$B6,'Plant'!$D$2:$D$37,$C6)</f>
        <v/>
      </c>
      <c r="R6">
        <f>SUMIFS('Plant'!$T$2:$T$37,'Plant'!$B$2:$B$37,$B6,'Plant'!$D$2:$D$37,$C6)</f>
        <v/>
      </c>
      <c r="S6">
        <f>SUMIFS('Plant'!$U$2:$U$37,'Plant'!$B$2:$B$37,$B6,'Plant'!$D$2:$D$37,$C6)</f>
        <v/>
      </c>
      <c r="T6">
        <f>SUMIFS('Plant'!$V$2:$V$37,'Plant'!$B$2:$B$37,$B6,'Plant'!$D$2:$D$37,$C6)</f>
        <v/>
      </c>
      <c r="U6">
        <f>SUMIFS('Plant'!$W$2:$W$37,'Plant'!$B$2:$B$37,$B6,'Plant'!$D$2:$D$37,$C6)</f>
        <v/>
      </c>
      <c r="V6">
        <f>SUMIFS('Plant'!$X$2:$X$37,'Plant'!$B$2:$B$37,$B6,'Plant'!$D$2:$D$37,$C6)</f>
        <v/>
      </c>
      <c r="W6">
        <f>SUMIFS('Plant'!$Y$2:$Y$37,'Plant'!$B$2:$B$37,$B6,'Plant'!$D$2:$D$37,$C6)</f>
        <v/>
      </c>
      <c r="X6">
        <f>SUMIFS('Plant'!$Z$2:$Z$37,'Plant'!$B$2:$B$37,$B6,'Plant'!$D$2:$D$37,$C6)</f>
        <v/>
      </c>
      <c r="Y6">
        <f>SUMIFS('Plant'!$AA$2:$AA$37,'Plant'!$B$2:$B$37,$B6,'Plant'!$D$2:$D$37,$C6)</f>
        <v/>
      </c>
      <c r="Z6">
        <f>SUMIFS('Plant'!$AB$2:$AB$37,'Plant'!$B$2:$B$37,$B6,'Plant'!$D$2:$D$37,$C6)</f>
        <v/>
      </c>
      <c r="AA6">
        <f>SUMIFS('Plant'!$AC$2:$AC$37,'Plant'!$B$2:$B$37,$B6,'Plant'!$D$2:$D$37,$C6)</f>
        <v/>
      </c>
      <c r="AB6">
        <f>SUMIFS('Plant'!$AD$2:$AD$37,'Plant'!$B$2:$B$37,$B6,'Plant'!$D$2:$D$37,$C6)</f>
        <v/>
      </c>
      <c r="AC6">
        <f>SUMIFS('Plant'!$AE$2:$AE$37,'Plant'!$B$2:$B$37,$B6,'Plant'!$D$2:$D$37,$C6)</f>
        <v/>
      </c>
      <c r="AD6">
        <f>SUMIFS('Plant'!$AF$2:$AF$37,'Plant'!$B$2:$B$37,$B6,'Plant'!$D$2:$D$37,$C6)</f>
        <v/>
      </c>
      <c r="AE6">
        <f>SUMIFS('Plant'!$AG$2:$AG$37,'Plant'!$B$2:$B$37,$B6,'Plant'!$D$2:$D$37,$C6)</f>
        <v/>
      </c>
      <c r="AF6">
        <f>SUMIFS('Plant'!$AH$2:$AH$37,'Plant'!$B$2:$B$37,$B6,'Plant'!$D$2:$D$37,$C6)</f>
        <v/>
      </c>
      <c r="AG6">
        <f>SUMIFS('Plant'!$AI$2:$AI$37,'Plant'!$B$2:$B$37,$B6,'Plant'!$D$2:$D$37,$C6)</f>
        <v/>
      </c>
      <c r="AH6">
        <f>SUMIFS('Plant'!$AJ$2:$AJ$37,'Plant'!$B$2:$B$37,$B6,'Plant'!$D$2:$D$37,$C6)</f>
        <v/>
      </c>
      <c r="AI6">
        <f>SUMIFS('Plant'!$AK$2:$AK$37,'Plant'!$B$2:$B$37,$B6,'Plant'!$D$2:$D$37,$C6)</f>
        <v/>
      </c>
      <c r="AJ6">
        <f>SUMIFS('Plant'!$AL$2:$AL$37,'Plant'!$B$2:$B$37,$B6,'Plant'!$D$2:$D$37,$C6)</f>
        <v/>
      </c>
      <c r="AK6">
        <f>SUMIFS('Plant'!$AM$2:$AM$37,'Plant'!$B$2:$B$37,$B6,'Plant'!$D$2:$D$37,$C6)</f>
        <v/>
      </c>
      <c r="AL6">
        <f>SUMIFS('Plant'!$AN$2:$AN$37,'Plant'!$B$2:$B$37,$B6,'Plant'!$D$2:$D$37,$C6)</f>
        <v/>
      </c>
      <c r="AM6">
        <f>SUMIFS('Plant'!$AO$2:$AO$37,'Plant'!$B$2:$B$37,$B6,'Plant'!$D$2:$D$37,$C6)</f>
        <v/>
      </c>
      <c r="AN6">
        <f>SUMIFS('Plant'!$AP$2:$AP$37,'Plant'!$B$2:$B$37,$B6,'Plant'!$D$2:$D$37,$C6)</f>
        <v/>
      </c>
      <c r="AO6">
        <f>SUMIFS('Plant'!$AQ$2:$AQ$37,'Plant'!$B$2:$B$37,$B6,'Plant'!$D$2:$D$37,$C6)</f>
        <v/>
      </c>
      <c r="AP6">
        <f>SUMIFS('Plant'!$AR$2:$AR$37,'Plant'!$B$2:$B$37,$B6,'Plant'!$D$2:$D$37,$C6)</f>
        <v/>
      </c>
      <c r="AQ6">
        <f>MINIFS('Plant'!$AS$2:$AS$37,'Plant'!$B$2:$B$37,$B6,'Plant'!$D$2:$D$37,$C6)</f>
        <v/>
      </c>
      <c r="AR6" s="3">
        <f>IFERROR(100*L6/J6,0)</f>
        <v/>
      </c>
      <c r="AS6" s="3">
        <f>IFERROR(100*L6/I6,0)</f>
        <v/>
      </c>
      <c r="AT6" s="3">
        <f>IFERROR(100*F6/D6,0)</f>
        <v/>
      </c>
      <c r="AU6" s="3">
        <f>IFERROR(100*L6/H6,0)</f>
        <v/>
      </c>
      <c r="AV6" s="3">
        <f>IFERROR(100*O6/N6,0)</f>
        <v/>
      </c>
      <c r="AW6" s="3">
        <f>IFERROR(100*L6/M6,0)</f>
        <v/>
      </c>
      <c r="AX6" s="3">
        <f>IFERROR(F6/Q6,0)</f>
        <v/>
      </c>
      <c r="AY6" s="3">
        <f>IFERROR(R6/Q6,0)</f>
        <v/>
      </c>
      <c r="AZ6" s="3">
        <f>G6</f>
        <v/>
      </c>
      <c r="BA6" s="3">
        <f>P6</f>
        <v/>
      </c>
      <c r="BB6" s="3">
        <f>IFERROR(100*T6/S6,0)</f>
        <v/>
      </c>
      <c r="BC6" s="3">
        <f>IFERROR(1000*(U6+W6)/L6,0)</f>
        <v/>
      </c>
      <c r="BD6" s="3">
        <f>U6</f>
        <v/>
      </c>
      <c r="BE6" s="3">
        <f>V6</f>
        <v/>
      </c>
      <c r="BF6" s="3">
        <f>X6</f>
        <v/>
      </c>
      <c r="BG6" s="3">
        <f>Y6</f>
        <v/>
      </c>
      <c r="BH6" s="3">
        <f>IFERROR(Z6/L6,0)</f>
        <v/>
      </c>
      <c r="BI6" s="3">
        <f>AA6</f>
        <v/>
      </c>
      <c r="BJ6" s="3">
        <f>AB6</f>
        <v/>
      </c>
      <c r="BK6" s="3">
        <f>AN6</f>
        <v/>
      </c>
      <c r="BL6" s="3">
        <f>IFERROR(100*AP6/AO6,0)</f>
        <v/>
      </c>
      <c r="BM6" s="3">
        <f>AI6</f>
        <v/>
      </c>
      <c r="BN6" s="3">
        <f>IFERROR(200000*AD6/AC6,0)</f>
        <v/>
      </c>
      <c r="BO6" s="3">
        <f>AE6</f>
        <v/>
      </c>
      <c r="BP6" s="3">
        <f>AF6</f>
        <v/>
      </c>
      <c r="BQ6" s="3">
        <f>AG6</f>
        <v/>
      </c>
      <c r="BR6" s="3">
        <f>AH6</f>
        <v/>
      </c>
      <c r="BS6" s="3">
        <f>AJ6</f>
        <v/>
      </c>
      <c r="BT6" s="3">
        <f>AK6</f>
        <v/>
      </c>
      <c r="BU6" s="3">
        <f>IF(AL6=0,100,100*AM6/AL6)</f>
        <v/>
      </c>
      <c r="BV6" s="3">
        <f>AQ6</f>
        <v/>
      </c>
    </row>
    <row r="7">
      <c r="A7" t="inlineStr">
        <is>
          <t>Group</t>
        </is>
      </c>
      <c r="B7" t="inlineStr">
        <is>
          <t>Entity A1</t>
        </is>
      </c>
      <c r="C7" t="inlineStr">
        <is>
          <t>2026-09</t>
        </is>
      </c>
      <c r="D7">
        <f>SUMIFS('Plant'!$F$2:$F$37,'Plant'!$B$2:$B$37,$B7,'Plant'!$D$2:$D$37,$C7)</f>
        <v/>
      </c>
      <c r="E7">
        <f>SUMIFS('Plant'!$G$2:$G$37,'Plant'!$B$2:$B$37,$B7,'Plant'!$D$2:$D$37,$C7)</f>
        <v/>
      </c>
      <c r="F7">
        <f>SUMIFS('Plant'!$H$2:$H$37,'Plant'!$B$2:$B$37,$B7,'Plant'!$D$2:$D$37,$C7)</f>
        <v/>
      </c>
      <c r="G7">
        <f>SUMIFS('Plant'!$I$2:$I$37,'Plant'!$B$2:$B$37,$B7,'Plant'!$D$2:$D$37,$C7)</f>
        <v/>
      </c>
      <c r="H7">
        <f>SUMIFS('Plant'!$J$2:$J$37,'Plant'!$B$2:$B$37,$B7,'Plant'!$D$2:$D$37,$C7)</f>
        <v/>
      </c>
      <c r="I7">
        <f>SUMIFS('Plant'!$K$2:$K$37,'Plant'!$B$2:$B$37,$B7,'Plant'!$D$2:$D$37,$C7)</f>
        <v/>
      </c>
      <c r="J7">
        <f>SUMIFS('Plant'!$L$2:$L$37,'Plant'!$B$2:$B$37,$B7,'Plant'!$D$2:$D$37,$C7)</f>
        <v/>
      </c>
      <c r="K7">
        <f>SUMIFS('Plant'!$M$2:$M$37,'Plant'!$B$2:$B$37,$B7,'Plant'!$D$2:$D$37,$C7)</f>
        <v/>
      </c>
      <c r="L7">
        <f>SUMIFS('Plant'!$N$2:$N$37,'Plant'!$B$2:$B$37,$B7,'Plant'!$D$2:$D$37,$C7)</f>
        <v/>
      </c>
      <c r="M7">
        <f>SUMIFS('Plant'!$O$2:$O$37,'Plant'!$B$2:$B$37,$B7,'Plant'!$D$2:$D$37,$C7)</f>
        <v/>
      </c>
      <c r="N7">
        <f>SUMIFS('Plant'!$P$2:$P$37,'Plant'!$B$2:$B$37,$B7,'Plant'!$D$2:$D$37,$C7)</f>
        <v/>
      </c>
      <c r="O7">
        <f>SUMIFS('Plant'!$Q$2:$Q$37,'Plant'!$B$2:$B$37,$B7,'Plant'!$D$2:$D$37,$C7)</f>
        <v/>
      </c>
      <c r="P7">
        <f>SUMIFS('Plant'!$R$2:$R$37,'Plant'!$B$2:$B$37,$B7,'Plant'!$D$2:$D$37,$C7)</f>
        <v/>
      </c>
      <c r="Q7">
        <f>SUMIFS('Plant'!$S$2:$S$37,'Plant'!$B$2:$B$37,$B7,'Plant'!$D$2:$D$37,$C7)</f>
        <v/>
      </c>
      <c r="R7">
        <f>SUMIFS('Plant'!$T$2:$T$37,'Plant'!$B$2:$B$37,$B7,'Plant'!$D$2:$D$37,$C7)</f>
        <v/>
      </c>
      <c r="S7">
        <f>SUMIFS('Plant'!$U$2:$U$37,'Plant'!$B$2:$B$37,$B7,'Plant'!$D$2:$D$37,$C7)</f>
        <v/>
      </c>
      <c r="T7">
        <f>SUMIFS('Plant'!$V$2:$V$37,'Plant'!$B$2:$B$37,$B7,'Plant'!$D$2:$D$37,$C7)</f>
        <v/>
      </c>
      <c r="U7">
        <f>SUMIFS('Plant'!$W$2:$W$37,'Plant'!$B$2:$B$37,$B7,'Plant'!$D$2:$D$37,$C7)</f>
        <v/>
      </c>
      <c r="V7">
        <f>SUMIFS('Plant'!$X$2:$X$37,'Plant'!$B$2:$B$37,$B7,'Plant'!$D$2:$D$37,$C7)</f>
        <v/>
      </c>
      <c r="W7">
        <f>SUMIFS('Plant'!$Y$2:$Y$37,'Plant'!$B$2:$B$37,$B7,'Plant'!$D$2:$D$37,$C7)</f>
        <v/>
      </c>
      <c r="X7">
        <f>SUMIFS('Plant'!$Z$2:$Z$37,'Plant'!$B$2:$B$37,$B7,'Plant'!$D$2:$D$37,$C7)</f>
        <v/>
      </c>
      <c r="Y7">
        <f>SUMIFS('Plant'!$AA$2:$AA$37,'Plant'!$B$2:$B$37,$B7,'Plant'!$D$2:$D$37,$C7)</f>
        <v/>
      </c>
      <c r="Z7">
        <f>SUMIFS('Plant'!$AB$2:$AB$37,'Plant'!$B$2:$B$37,$B7,'Plant'!$D$2:$D$37,$C7)</f>
        <v/>
      </c>
      <c r="AA7">
        <f>SUMIFS('Plant'!$AC$2:$AC$37,'Plant'!$B$2:$B$37,$B7,'Plant'!$D$2:$D$37,$C7)</f>
        <v/>
      </c>
      <c r="AB7">
        <f>SUMIFS('Plant'!$AD$2:$AD$37,'Plant'!$B$2:$B$37,$B7,'Plant'!$D$2:$D$37,$C7)</f>
        <v/>
      </c>
      <c r="AC7">
        <f>SUMIFS('Plant'!$AE$2:$AE$37,'Plant'!$B$2:$B$37,$B7,'Plant'!$D$2:$D$37,$C7)</f>
        <v/>
      </c>
      <c r="AD7">
        <f>SUMIFS('Plant'!$AF$2:$AF$37,'Plant'!$B$2:$B$37,$B7,'Plant'!$D$2:$D$37,$C7)</f>
        <v/>
      </c>
      <c r="AE7">
        <f>SUMIFS('Plant'!$AG$2:$AG$37,'Plant'!$B$2:$B$37,$B7,'Plant'!$D$2:$D$37,$C7)</f>
        <v/>
      </c>
      <c r="AF7">
        <f>SUMIFS('Plant'!$AH$2:$AH$37,'Plant'!$B$2:$B$37,$B7,'Plant'!$D$2:$D$37,$C7)</f>
        <v/>
      </c>
      <c r="AG7">
        <f>SUMIFS('Plant'!$AI$2:$AI$37,'Plant'!$B$2:$B$37,$B7,'Plant'!$D$2:$D$37,$C7)</f>
        <v/>
      </c>
      <c r="AH7">
        <f>SUMIFS('Plant'!$AJ$2:$AJ$37,'Plant'!$B$2:$B$37,$B7,'Plant'!$D$2:$D$37,$C7)</f>
        <v/>
      </c>
      <c r="AI7">
        <f>SUMIFS('Plant'!$AK$2:$AK$37,'Plant'!$B$2:$B$37,$B7,'Plant'!$D$2:$D$37,$C7)</f>
        <v/>
      </c>
      <c r="AJ7">
        <f>SUMIFS('Plant'!$AL$2:$AL$37,'Plant'!$B$2:$B$37,$B7,'Plant'!$D$2:$D$37,$C7)</f>
        <v/>
      </c>
      <c r="AK7">
        <f>SUMIFS('Plant'!$AM$2:$AM$37,'Plant'!$B$2:$B$37,$B7,'Plant'!$D$2:$D$37,$C7)</f>
        <v/>
      </c>
      <c r="AL7">
        <f>SUMIFS('Plant'!$AN$2:$AN$37,'Plant'!$B$2:$B$37,$B7,'Plant'!$D$2:$D$37,$C7)</f>
        <v/>
      </c>
      <c r="AM7">
        <f>SUMIFS('Plant'!$AO$2:$AO$37,'Plant'!$B$2:$B$37,$B7,'Plant'!$D$2:$D$37,$C7)</f>
        <v/>
      </c>
      <c r="AN7">
        <f>SUMIFS('Plant'!$AP$2:$AP$37,'Plant'!$B$2:$B$37,$B7,'Plant'!$D$2:$D$37,$C7)</f>
        <v/>
      </c>
      <c r="AO7">
        <f>SUMIFS('Plant'!$AQ$2:$AQ$37,'Plant'!$B$2:$B$37,$B7,'Plant'!$D$2:$D$37,$C7)</f>
        <v/>
      </c>
      <c r="AP7">
        <f>SUMIFS('Plant'!$AR$2:$AR$37,'Plant'!$B$2:$B$37,$B7,'Plant'!$D$2:$D$37,$C7)</f>
        <v/>
      </c>
      <c r="AQ7">
        <f>MINIFS('Plant'!$AS$2:$AS$37,'Plant'!$B$2:$B$37,$B7,'Plant'!$D$2:$D$37,$C7)</f>
        <v/>
      </c>
      <c r="AR7" s="3">
        <f>IFERROR(100*L7/J7,0)</f>
        <v/>
      </c>
      <c r="AS7" s="3">
        <f>IFERROR(100*L7/I7,0)</f>
        <v/>
      </c>
      <c r="AT7" s="3">
        <f>IFERROR(100*F7/D7,0)</f>
        <v/>
      </c>
      <c r="AU7" s="3">
        <f>IFERROR(100*L7/H7,0)</f>
        <v/>
      </c>
      <c r="AV7" s="3">
        <f>IFERROR(100*O7/N7,0)</f>
        <v/>
      </c>
      <c r="AW7" s="3">
        <f>IFERROR(100*L7/M7,0)</f>
        <v/>
      </c>
      <c r="AX7" s="3">
        <f>IFERROR(F7/Q7,0)</f>
        <v/>
      </c>
      <c r="AY7" s="3">
        <f>IFERROR(R7/Q7,0)</f>
        <v/>
      </c>
      <c r="AZ7" s="3">
        <f>G7</f>
        <v/>
      </c>
      <c r="BA7" s="3">
        <f>P7</f>
        <v/>
      </c>
      <c r="BB7" s="3">
        <f>IFERROR(100*T7/S7,0)</f>
        <v/>
      </c>
      <c r="BC7" s="3">
        <f>IFERROR(1000*(U7+W7)/L7,0)</f>
        <v/>
      </c>
      <c r="BD7" s="3">
        <f>U7</f>
        <v/>
      </c>
      <c r="BE7" s="3">
        <f>V7</f>
        <v/>
      </c>
      <c r="BF7" s="3">
        <f>X7</f>
        <v/>
      </c>
      <c r="BG7" s="3">
        <f>Y7</f>
        <v/>
      </c>
      <c r="BH7" s="3">
        <f>IFERROR(Z7/L7,0)</f>
        <v/>
      </c>
      <c r="BI7" s="3">
        <f>AA7</f>
        <v/>
      </c>
      <c r="BJ7" s="3">
        <f>AB7</f>
        <v/>
      </c>
      <c r="BK7" s="3">
        <f>AN7</f>
        <v/>
      </c>
      <c r="BL7" s="3">
        <f>IFERROR(100*AP7/AO7,0)</f>
        <v/>
      </c>
      <c r="BM7" s="3">
        <f>AI7</f>
        <v/>
      </c>
      <c r="BN7" s="3">
        <f>IFERROR(200000*AD7/AC7,0)</f>
        <v/>
      </c>
      <c r="BO7" s="3">
        <f>AE7</f>
        <v/>
      </c>
      <c r="BP7" s="3">
        <f>AF7</f>
        <v/>
      </c>
      <c r="BQ7" s="3">
        <f>AG7</f>
        <v/>
      </c>
      <c r="BR7" s="3">
        <f>AH7</f>
        <v/>
      </c>
      <c r="BS7" s="3">
        <f>AJ7</f>
        <v/>
      </c>
      <c r="BT7" s="3">
        <f>AK7</f>
        <v/>
      </c>
      <c r="BU7" s="3">
        <f>IF(AL7=0,100,100*AM7/AL7)</f>
        <v/>
      </c>
      <c r="BV7" s="3">
        <f>AQ7</f>
        <v/>
      </c>
    </row>
    <row r="8">
      <c r="A8" t="inlineStr">
        <is>
          <t>Group</t>
        </is>
      </c>
      <c r="B8" t="inlineStr">
        <is>
          <t>Entity A2</t>
        </is>
      </c>
      <c r="C8" t="inlineStr">
        <is>
          <t>2026-04</t>
        </is>
      </c>
      <c r="D8">
        <f>SUMIFS('Plant'!$F$2:$F$37,'Plant'!$B$2:$B$37,$B8,'Plant'!$D$2:$D$37,$C8)</f>
        <v/>
      </c>
      <c r="E8">
        <f>SUMIFS('Plant'!$G$2:$G$37,'Plant'!$B$2:$B$37,$B8,'Plant'!$D$2:$D$37,$C8)</f>
        <v/>
      </c>
      <c r="F8">
        <f>SUMIFS('Plant'!$H$2:$H$37,'Plant'!$B$2:$B$37,$B8,'Plant'!$D$2:$D$37,$C8)</f>
        <v/>
      </c>
      <c r="G8">
        <f>SUMIFS('Plant'!$I$2:$I$37,'Plant'!$B$2:$B$37,$B8,'Plant'!$D$2:$D$37,$C8)</f>
        <v/>
      </c>
      <c r="H8">
        <f>SUMIFS('Plant'!$J$2:$J$37,'Plant'!$B$2:$B$37,$B8,'Plant'!$D$2:$D$37,$C8)</f>
        <v/>
      </c>
      <c r="I8">
        <f>SUMIFS('Plant'!$K$2:$K$37,'Plant'!$B$2:$B$37,$B8,'Plant'!$D$2:$D$37,$C8)</f>
        <v/>
      </c>
      <c r="J8">
        <f>SUMIFS('Plant'!$L$2:$L$37,'Plant'!$B$2:$B$37,$B8,'Plant'!$D$2:$D$37,$C8)</f>
        <v/>
      </c>
      <c r="K8">
        <f>SUMIFS('Plant'!$M$2:$M$37,'Plant'!$B$2:$B$37,$B8,'Plant'!$D$2:$D$37,$C8)</f>
        <v/>
      </c>
      <c r="L8">
        <f>SUMIFS('Plant'!$N$2:$N$37,'Plant'!$B$2:$B$37,$B8,'Plant'!$D$2:$D$37,$C8)</f>
        <v/>
      </c>
      <c r="M8">
        <f>SUMIFS('Plant'!$O$2:$O$37,'Plant'!$B$2:$B$37,$B8,'Plant'!$D$2:$D$37,$C8)</f>
        <v/>
      </c>
      <c r="N8">
        <f>SUMIFS('Plant'!$P$2:$P$37,'Plant'!$B$2:$B$37,$B8,'Plant'!$D$2:$D$37,$C8)</f>
        <v/>
      </c>
      <c r="O8">
        <f>SUMIFS('Plant'!$Q$2:$Q$37,'Plant'!$B$2:$B$37,$B8,'Plant'!$D$2:$D$37,$C8)</f>
        <v/>
      </c>
      <c r="P8">
        <f>SUMIFS('Plant'!$R$2:$R$37,'Plant'!$B$2:$B$37,$B8,'Plant'!$D$2:$D$37,$C8)</f>
        <v/>
      </c>
      <c r="Q8">
        <f>SUMIFS('Plant'!$S$2:$S$37,'Plant'!$B$2:$B$37,$B8,'Plant'!$D$2:$D$37,$C8)</f>
        <v/>
      </c>
      <c r="R8">
        <f>SUMIFS('Plant'!$T$2:$T$37,'Plant'!$B$2:$B$37,$B8,'Plant'!$D$2:$D$37,$C8)</f>
        <v/>
      </c>
      <c r="S8">
        <f>SUMIFS('Plant'!$U$2:$U$37,'Plant'!$B$2:$B$37,$B8,'Plant'!$D$2:$D$37,$C8)</f>
        <v/>
      </c>
      <c r="T8">
        <f>SUMIFS('Plant'!$V$2:$V$37,'Plant'!$B$2:$B$37,$B8,'Plant'!$D$2:$D$37,$C8)</f>
        <v/>
      </c>
      <c r="U8">
        <f>SUMIFS('Plant'!$W$2:$W$37,'Plant'!$B$2:$B$37,$B8,'Plant'!$D$2:$D$37,$C8)</f>
        <v/>
      </c>
      <c r="V8">
        <f>SUMIFS('Plant'!$X$2:$X$37,'Plant'!$B$2:$B$37,$B8,'Plant'!$D$2:$D$37,$C8)</f>
        <v/>
      </c>
      <c r="W8">
        <f>SUMIFS('Plant'!$Y$2:$Y$37,'Plant'!$B$2:$B$37,$B8,'Plant'!$D$2:$D$37,$C8)</f>
        <v/>
      </c>
      <c r="X8">
        <f>SUMIFS('Plant'!$Z$2:$Z$37,'Plant'!$B$2:$B$37,$B8,'Plant'!$D$2:$D$37,$C8)</f>
        <v/>
      </c>
      <c r="Y8">
        <f>SUMIFS('Plant'!$AA$2:$AA$37,'Plant'!$B$2:$B$37,$B8,'Plant'!$D$2:$D$37,$C8)</f>
        <v/>
      </c>
      <c r="Z8">
        <f>SUMIFS('Plant'!$AB$2:$AB$37,'Plant'!$B$2:$B$37,$B8,'Plant'!$D$2:$D$37,$C8)</f>
        <v/>
      </c>
      <c r="AA8">
        <f>SUMIFS('Plant'!$AC$2:$AC$37,'Plant'!$B$2:$B$37,$B8,'Plant'!$D$2:$D$37,$C8)</f>
        <v/>
      </c>
      <c r="AB8">
        <f>SUMIFS('Plant'!$AD$2:$AD$37,'Plant'!$B$2:$B$37,$B8,'Plant'!$D$2:$D$37,$C8)</f>
        <v/>
      </c>
      <c r="AC8">
        <f>SUMIFS('Plant'!$AE$2:$AE$37,'Plant'!$B$2:$B$37,$B8,'Plant'!$D$2:$D$37,$C8)</f>
        <v/>
      </c>
      <c r="AD8">
        <f>SUMIFS('Plant'!$AF$2:$AF$37,'Plant'!$B$2:$B$37,$B8,'Plant'!$D$2:$D$37,$C8)</f>
        <v/>
      </c>
      <c r="AE8">
        <f>SUMIFS('Plant'!$AG$2:$AG$37,'Plant'!$B$2:$B$37,$B8,'Plant'!$D$2:$D$37,$C8)</f>
        <v/>
      </c>
      <c r="AF8">
        <f>SUMIFS('Plant'!$AH$2:$AH$37,'Plant'!$B$2:$B$37,$B8,'Plant'!$D$2:$D$37,$C8)</f>
        <v/>
      </c>
      <c r="AG8">
        <f>SUMIFS('Plant'!$AI$2:$AI$37,'Plant'!$B$2:$B$37,$B8,'Plant'!$D$2:$D$37,$C8)</f>
        <v/>
      </c>
      <c r="AH8">
        <f>SUMIFS('Plant'!$AJ$2:$AJ$37,'Plant'!$B$2:$B$37,$B8,'Plant'!$D$2:$D$37,$C8)</f>
        <v/>
      </c>
      <c r="AI8">
        <f>SUMIFS('Plant'!$AK$2:$AK$37,'Plant'!$B$2:$B$37,$B8,'Plant'!$D$2:$D$37,$C8)</f>
        <v/>
      </c>
      <c r="AJ8">
        <f>SUMIFS('Plant'!$AL$2:$AL$37,'Plant'!$B$2:$B$37,$B8,'Plant'!$D$2:$D$37,$C8)</f>
        <v/>
      </c>
      <c r="AK8">
        <f>SUMIFS('Plant'!$AM$2:$AM$37,'Plant'!$B$2:$B$37,$B8,'Plant'!$D$2:$D$37,$C8)</f>
        <v/>
      </c>
      <c r="AL8">
        <f>SUMIFS('Plant'!$AN$2:$AN$37,'Plant'!$B$2:$B$37,$B8,'Plant'!$D$2:$D$37,$C8)</f>
        <v/>
      </c>
      <c r="AM8">
        <f>SUMIFS('Plant'!$AO$2:$AO$37,'Plant'!$B$2:$B$37,$B8,'Plant'!$D$2:$D$37,$C8)</f>
        <v/>
      </c>
      <c r="AN8">
        <f>SUMIFS('Plant'!$AP$2:$AP$37,'Plant'!$B$2:$B$37,$B8,'Plant'!$D$2:$D$37,$C8)</f>
        <v/>
      </c>
      <c r="AO8">
        <f>SUMIFS('Plant'!$AQ$2:$AQ$37,'Plant'!$B$2:$B$37,$B8,'Plant'!$D$2:$D$37,$C8)</f>
        <v/>
      </c>
      <c r="AP8">
        <f>SUMIFS('Plant'!$AR$2:$AR$37,'Plant'!$B$2:$B$37,$B8,'Plant'!$D$2:$D$37,$C8)</f>
        <v/>
      </c>
      <c r="AQ8">
        <f>MINIFS('Plant'!$AS$2:$AS$37,'Plant'!$B$2:$B$37,$B8,'Plant'!$D$2:$D$37,$C8)</f>
        <v/>
      </c>
      <c r="AR8" s="3">
        <f>IFERROR(100*L8/J8,0)</f>
        <v/>
      </c>
      <c r="AS8" s="3">
        <f>IFERROR(100*L8/I8,0)</f>
        <v/>
      </c>
      <c r="AT8" s="3">
        <f>IFERROR(100*F8/D8,0)</f>
        <v/>
      </c>
      <c r="AU8" s="3">
        <f>IFERROR(100*L8/H8,0)</f>
        <v/>
      </c>
      <c r="AV8" s="3">
        <f>IFERROR(100*O8/N8,0)</f>
        <v/>
      </c>
      <c r="AW8" s="3">
        <f>IFERROR(100*L8/M8,0)</f>
        <v/>
      </c>
      <c r="AX8" s="3">
        <f>IFERROR(F8/Q8,0)</f>
        <v/>
      </c>
      <c r="AY8" s="3">
        <f>IFERROR(R8/Q8,0)</f>
        <v/>
      </c>
      <c r="AZ8" s="3">
        <f>G8</f>
        <v/>
      </c>
      <c r="BA8" s="3">
        <f>P8</f>
        <v/>
      </c>
      <c r="BB8" s="3">
        <f>IFERROR(100*T8/S8,0)</f>
        <v/>
      </c>
      <c r="BC8" s="3">
        <f>IFERROR(1000*(U8+W8)/L8,0)</f>
        <v/>
      </c>
      <c r="BD8" s="3">
        <f>U8</f>
        <v/>
      </c>
      <c r="BE8" s="3">
        <f>V8</f>
        <v/>
      </c>
      <c r="BF8" s="3">
        <f>X8</f>
        <v/>
      </c>
      <c r="BG8" s="3">
        <f>Y8</f>
        <v/>
      </c>
      <c r="BH8" s="3">
        <f>IFERROR(Z8/L8,0)</f>
        <v/>
      </c>
      <c r="BI8" s="3">
        <f>AA8</f>
        <v/>
      </c>
      <c r="BJ8" s="3">
        <f>AB8</f>
        <v/>
      </c>
      <c r="BK8" s="3">
        <f>AN8</f>
        <v/>
      </c>
      <c r="BL8" s="3">
        <f>IFERROR(100*AP8/AO8,0)</f>
        <v/>
      </c>
      <c r="BM8" s="3">
        <f>AI8</f>
        <v/>
      </c>
      <c r="BN8" s="3">
        <f>IFERROR(200000*AD8/AC8,0)</f>
        <v/>
      </c>
      <c r="BO8" s="3">
        <f>AE8</f>
        <v/>
      </c>
      <c r="BP8" s="3">
        <f>AF8</f>
        <v/>
      </c>
      <c r="BQ8" s="3">
        <f>AG8</f>
        <v/>
      </c>
      <c r="BR8" s="3">
        <f>AH8</f>
        <v/>
      </c>
      <c r="BS8" s="3">
        <f>AJ8</f>
        <v/>
      </c>
      <c r="BT8" s="3">
        <f>AK8</f>
        <v/>
      </c>
      <c r="BU8" s="3">
        <f>IF(AL8=0,100,100*AM8/AL8)</f>
        <v/>
      </c>
      <c r="BV8" s="3">
        <f>AQ8</f>
        <v/>
      </c>
    </row>
    <row r="9">
      <c r="A9" t="inlineStr">
        <is>
          <t>Group</t>
        </is>
      </c>
      <c r="B9" t="inlineStr">
        <is>
          <t>Entity A2</t>
        </is>
      </c>
      <c r="C9" t="inlineStr">
        <is>
          <t>2026-05</t>
        </is>
      </c>
      <c r="D9">
        <f>SUMIFS('Plant'!$F$2:$F$37,'Plant'!$B$2:$B$37,$B9,'Plant'!$D$2:$D$37,$C9)</f>
        <v/>
      </c>
      <c r="E9">
        <f>SUMIFS('Plant'!$G$2:$G$37,'Plant'!$B$2:$B$37,$B9,'Plant'!$D$2:$D$37,$C9)</f>
        <v/>
      </c>
      <c r="F9">
        <f>SUMIFS('Plant'!$H$2:$H$37,'Plant'!$B$2:$B$37,$B9,'Plant'!$D$2:$D$37,$C9)</f>
        <v/>
      </c>
      <c r="G9">
        <f>SUMIFS('Plant'!$I$2:$I$37,'Plant'!$B$2:$B$37,$B9,'Plant'!$D$2:$D$37,$C9)</f>
        <v/>
      </c>
      <c r="H9">
        <f>SUMIFS('Plant'!$J$2:$J$37,'Plant'!$B$2:$B$37,$B9,'Plant'!$D$2:$D$37,$C9)</f>
        <v/>
      </c>
      <c r="I9">
        <f>SUMIFS('Plant'!$K$2:$K$37,'Plant'!$B$2:$B$37,$B9,'Plant'!$D$2:$D$37,$C9)</f>
        <v/>
      </c>
      <c r="J9">
        <f>SUMIFS('Plant'!$L$2:$L$37,'Plant'!$B$2:$B$37,$B9,'Plant'!$D$2:$D$37,$C9)</f>
        <v/>
      </c>
      <c r="K9">
        <f>SUMIFS('Plant'!$M$2:$M$37,'Plant'!$B$2:$B$37,$B9,'Plant'!$D$2:$D$37,$C9)</f>
        <v/>
      </c>
      <c r="L9">
        <f>SUMIFS('Plant'!$N$2:$N$37,'Plant'!$B$2:$B$37,$B9,'Plant'!$D$2:$D$37,$C9)</f>
        <v/>
      </c>
      <c r="M9">
        <f>SUMIFS('Plant'!$O$2:$O$37,'Plant'!$B$2:$B$37,$B9,'Plant'!$D$2:$D$37,$C9)</f>
        <v/>
      </c>
      <c r="N9">
        <f>SUMIFS('Plant'!$P$2:$P$37,'Plant'!$B$2:$B$37,$B9,'Plant'!$D$2:$D$37,$C9)</f>
        <v/>
      </c>
      <c r="O9">
        <f>SUMIFS('Plant'!$Q$2:$Q$37,'Plant'!$B$2:$B$37,$B9,'Plant'!$D$2:$D$37,$C9)</f>
        <v/>
      </c>
      <c r="P9">
        <f>SUMIFS('Plant'!$R$2:$R$37,'Plant'!$B$2:$B$37,$B9,'Plant'!$D$2:$D$37,$C9)</f>
        <v/>
      </c>
      <c r="Q9">
        <f>SUMIFS('Plant'!$S$2:$S$37,'Plant'!$B$2:$B$37,$B9,'Plant'!$D$2:$D$37,$C9)</f>
        <v/>
      </c>
      <c r="R9">
        <f>SUMIFS('Plant'!$T$2:$T$37,'Plant'!$B$2:$B$37,$B9,'Plant'!$D$2:$D$37,$C9)</f>
        <v/>
      </c>
      <c r="S9">
        <f>SUMIFS('Plant'!$U$2:$U$37,'Plant'!$B$2:$B$37,$B9,'Plant'!$D$2:$D$37,$C9)</f>
        <v/>
      </c>
      <c r="T9">
        <f>SUMIFS('Plant'!$V$2:$V$37,'Plant'!$B$2:$B$37,$B9,'Plant'!$D$2:$D$37,$C9)</f>
        <v/>
      </c>
      <c r="U9">
        <f>SUMIFS('Plant'!$W$2:$W$37,'Plant'!$B$2:$B$37,$B9,'Plant'!$D$2:$D$37,$C9)</f>
        <v/>
      </c>
      <c r="V9">
        <f>SUMIFS('Plant'!$X$2:$X$37,'Plant'!$B$2:$B$37,$B9,'Plant'!$D$2:$D$37,$C9)</f>
        <v/>
      </c>
      <c r="W9">
        <f>SUMIFS('Plant'!$Y$2:$Y$37,'Plant'!$B$2:$B$37,$B9,'Plant'!$D$2:$D$37,$C9)</f>
        <v/>
      </c>
      <c r="X9">
        <f>SUMIFS('Plant'!$Z$2:$Z$37,'Plant'!$B$2:$B$37,$B9,'Plant'!$D$2:$D$37,$C9)</f>
        <v/>
      </c>
      <c r="Y9">
        <f>SUMIFS('Plant'!$AA$2:$AA$37,'Plant'!$B$2:$B$37,$B9,'Plant'!$D$2:$D$37,$C9)</f>
        <v/>
      </c>
      <c r="Z9">
        <f>SUMIFS('Plant'!$AB$2:$AB$37,'Plant'!$B$2:$B$37,$B9,'Plant'!$D$2:$D$37,$C9)</f>
        <v/>
      </c>
      <c r="AA9">
        <f>SUMIFS('Plant'!$AC$2:$AC$37,'Plant'!$B$2:$B$37,$B9,'Plant'!$D$2:$D$37,$C9)</f>
        <v/>
      </c>
      <c r="AB9">
        <f>SUMIFS('Plant'!$AD$2:$AD$37,'Plant'!$B$2:$B$37,$B9,'Plant'!$D$2:$D$37,$C9)</f>
        <v/>
      </c>
      <c r="AC9">
        <f>SUMIFS('Plant'!$AE$2:$AE$37,'Plant'!$B$2:$B$37,$B9,'Plant'!$D$2:$D$37,$C9)</f>
        <v/>
      </c>
      <c r="AD9">
        <f>SUMIFS('Plant'!$AF$2:$AF$37,'Plant'!$B$2:$B$37,$B9,'Plant'!$D$2:$D$37,$C9)</f>
        <v/>
      </c>
      <c r="AE9">
        <f>SUMIFS('Plant'!$AG$2:$AG$37,'Plant'!$B$2:$B$37,$B9,'Plant'!$D$2:$D$37,$C9)</f>
        <v/>
      </c>
      <c r="AF9">
        <f>SUMIFS('Plant'!$AH$2:$AH$37,'Plant'!$B$2:$B$37,$B9,'Plant'!$D$2:$D$37,$C9)</f>
        <v/>
      </c>
      <c r="AG9">
        <f>SUMIFS('Plant'!$AI$2:$AI$37,'Plant'!$B$2:$B$37,$B9,'Plant'!$D$2:$D$37,$C9)</f>
        <v/>
      </c>
      <c r="AH9">
        <f>SUMIFS('Plant'!$AJ$2:$AJ$37,'Plant'!$B$2:$B$37,$B9,'Plant'!$D$2:$D$37,$C9)</f>
        <v/>
      </c>
      <c r="AI9">
        <f>SUMIFS('Plant'!$AK$2:$AK$37,'Plant'!$B$2:$B$37,$B9,'Plant'!$D$2:$D$37,$C9)</f>
        <v/>
      </c>
      <c r="AJ9">
        <f>SUMIFS('Plant'!$AL$2:$AL$37,'Plant'!$B$2:$B$37,$B9,'Plant'!$D$2:$D$37,$C9)</f>
        <v/>
      </c>
      <c r="AK9">
        <f>SUMIFS('Plant'!$AM$2:$AM$37,'Plant'!$B$2:$B$37,$B9,'Plant'!$D$2:$D$37,$C9)</f>
        <v/>
      </c>
      <c r="AL9">
        <f>SUMIFS('Plant'!$AN$2:$AN$37,'Plant'!$B$2:$B$37,$B9,'Plant'!$D$2:$D$37,$C9)</f>
        <v/>
      </c>
      <c r="AM9">
        <f>SUMIFS('Plant'!$AO$2:$AO$37,'Plant'!$B$2:$B$37,$B9,'Plant'!$D$2:$D$37,$C9)</f>
        <v/>
      </c>
      <c r="AN9">
        <f>SUMIFS('Plant'!$AP$2:$AP$37,'Plant'!$B$2:$B$37,$B9,'Plant'!$D$2:$D$37,$C9)</f>
        <v/>
      </c>
      <c r="AO9">
        <f>SUMIFS('Plant'!$AQ$2:$AQ$37,'Plant'!$B$2:$B$37,$B9,'Plant'!$D$2:$D$37,$C9)</f>
        <v/>
      </c>
      <c r="AP9">
        <f>SUMIFS('Plant'!$AR$2:$AR$37,'Plant'!$B$2:$B$37,$B9,'Plant'!$D$2:$D$37,$C9)</f>
        <v/>
      </c>
      <c r="AQ9">
        <f>MINIFS('Plant'!$AS$2:$AS$37,'Plant'!$B$2:$B$37,$B9,'Plant'!$D$2:$D$37,$C9)</f>
        <v/>
      </c>
      <c r="AR9" s="3">
        <f>IFERROR(100*L9/J9,0)</f>
        <v/>
      </c>
      <c r="AS9" s="3">
        <f>IFERROR(100*L9/I9,0)</f>
        <v/>
      </c>
      <c r="AT9" s="3">
        <f>IFERROR(100*F9/D9,0)</f>
        <v/>
      </c>
      <c r="AU9" s="3">
        <f>IFERROR(100*L9/H9,0)</f>
        <v/>
      </c>
      <c r="AV9" s="3">
        <f>IFERROR(100*O9/N9,0)</f>
        <v/>
      </c>
      <c r="AW9" s="3">
        <f>IFERROR(100*L9/M9,0)</f>
        <v/>
      </c>
      <c r="AX9" s="3">
        <f>IFERROR(F9/Q9,0)</f>
        <v/>
      </c>
      <c r="AY9" s="3">
        <f>IFERROR(R9/Q9,0)</f>
        <v/>
      </c>
      <c r="AZ9" s="3">
        <f>G9</f>
        <v/>
      </c>
      <c r="BA9" s="3">
        <f>P9</f>
        <v/>
      </c>
      <c r="BB9" s="3">
        <f>IFERROR(100*T9/S9,0)</f>
        <v/>
      </c>
      <c r="BC9" s="3">
        <f>IFERROR(1000*(U9+W9)/L9,0)</f>
        <v/>
      </c>
      <c r="BD9" s="3">
        <f>U9</f>
        <v/>
      </c>
      <c r="BE9" s="3">
        <f>V9</f>
        <v/>
      </c>
      <c r="BF9" s="3">
        <f>X9</f>
        <v/>
      </c>
      <c r="BG9" s="3">
        <f>Y9</f>
        <v/>
      </c>
      <c r="BH9" s="3">
        <f>IFERROR(Z9/L9,0)</f>
        <v/>
      </c>
      <c r="BI9" s="3">
        <f>AA9</f>
        <v/>
      </c>
      <c r="BJ9" s="3">
        <f>AB9</f>
        <v/>
      </c>
      <c r="BK9" s="3">
        <f>AN9</f>
        <v/>
      </c>
      <c r="BL9" s="3">
        <f>IFERROR(100*AP9/AO9,0)</f>
        <v/>
      </c>
      <c r="BM9" s="3">
        <f>AI9</f>
        <v/>
      </c>
      <c r="BN9" s="3">
        <f>IFERROR(200000*AD9/AC9,0)</f>
        <v/>
      </c>
      <c r="BO9" s="3">
        <f>AE9</f>
        <v/>
      </c>
      <c r="BP9" s="3">
        <f>AF9</f>
        <v/>
      </c>
      <c r="BQ9" s="3">
        <f>AG9</f>
        <v/>
      </c>
      <c r="BR9" s="3">
        <f>AH9</f>
        <v/>
      </c>
      <c r="BS9" s="3">
        <f>AJ9</f>
        <v/>
      </c>
      <c r="BT9" s="3">
        <f>AK9</f>
        <v/>
      </c>
      <c r="BU9" s="3">
        <f>IF(AL9=0,100,100*AM9/AL9)</f>
        <v/>
      </c>
      <c r="BV9" s="3">
        <f>AQ9</f>
        <v/>
      </c>
    </row>
    <row r="10">
      <c r="A10" t="inlineStr">
        <is>
          <t>Group</t>
        </is>
      </c>
      <c r="B10" t="inlineStr">
        <is>
          <t>Entity A2</t>
        </is>
      </c>
      <c r="C10" t="inlineStr">
        <is>
          <t>2026-06</t>
        </is>
      </c>
      <c r="D10">
        <f>SUMIFS('Plant'!$F$2:$F$37,'Plant'!$B$2:$B$37,$B10,'Plant'!$D$2:$D$37,$C10)</f>
        <v/>
      </c>
      <c r="E10">
        <f>SUMIFS('Plant'!$G$2:$G$37,'Plant'!$B$2:$B$37,$B10,'Plant'!$D$2:$D$37,$C10)</f>
        <v/>
      </c>
      <c r="F10">
        <f>SUMIFS('Plant'!$H$2:$H$37,'Plant'!$B$2:$B$37,$B10,'Plant'!$D$2:$D$37,$C10)</f>
        <v/>
      </c>
      <c r="G10">
        <f>SUMIFS('Plant'!$I$2:$I$37,'Plant'!$B$2:$B$37,$B10,'Plant'!$D$2:$D$37,$C10)</f>
        <v/>
      </c>
      <c r="H10">
        <f>SUMIFS('Plant'!$J$2:$J$37,'Plant'!$B$2:$B$37,$B10,'Plant'!$D$2:$D$37,$C10)</f>
        <v/>
      </c>
      <c r="I10">
        <f>SUMIFS('Plant'!$K$2:$K$37,'Plant'!$B$2:$B$37,$B10,'Plant'!$D$2:$D$37,$C10)</f>
        <v/>
      </c>
      <c r="J10">
        <f>SUMIFS('Plant'!$L$2:$L$37,'Plant'!$B$2:$B$37,$B10,'Plant'!$D$2:$D$37,$C10)</f>
        <v/>
      </c>
      <c r="K10">
        <f>SUMIFS('Plant'!$M$2:$M$37,'Plant'!$B$2:$B$37,$B10,'Plant'!$D$2:$D$37,$C10)</f>
        <v/>
      </c>
      <c r="L10">
        <f>SUMIFS('Plant'!$N$2:$N$37,'Plant'!$B$2:$B$37,$B10,'Plant'!$D$2:$D$37,$C10)</f>
        <v/>
      </c>
      <c r="M10">
        <f>SUMIFS('Plant'!$O$2:$O$37,'Plant'!$B$2:$B$37,$B10,'Plant'!$D$2:$D$37,$C10)</f>
        <v/>
      </c>
      <c r="N10">
        <f>SUMIFS('Plant'!$P$2:$P$37,'Plant'!$B$2:$B$37,$B10,'Plant'!$D$2:$D$37,$C10)</f>
        <v/>
      </c>
      <c r="O10">
        <f>SUMIFS('Plant'!$Q$2:$Q$37,'Plant'!$B$2:$B$37,$B10,'Plant'!$D$2:$D$37,$C10)</f>
        <v/>
      </c>
      <c r="P10">
        <f>SUMIFS('Plant'!$R$2:$R$37,'Plant'!$B$2:$B$37,$B10,'Plant'!$D$2:$D$37,$C10)</f>
        <v/>
      </c>
      <c r="Q10">
        <f>SUMIFS('Plant'!$S$2:$S$37,'Plant'!$B$2:$B$37,$B10,'Plant'!$D$2:$D$37,$C10)</f>
        <v/>
      </c>
      <c r="R10">
        <f>SUMIFS('Plant'!$T$2:$T$37,'Plant'!$B$2:$B$37,$B10,'Plant'!$D$2:$D$37,$C10)</f>
        <v/>
      </c>
      <c r="S10">
        <f>SUMIFS('Plant'!$U$2:$U$37,'Plant'!$B$2:$B$37,$B10,'Plant'!$D$2:$D$37,$C10)</f>
        <v/>
      </c>
      <c r="T10">
        <f>SUMIFS('Plant'!$V$2:$V$37,'Plant'!$B$2:$B$37,$B10,'Plant'!$D$2:$D$37,$C10)</f>
        <v/>
      </c>
      <c r="U10">
        <f>SUMIFS('Plant'!$W$2:$W$37,'Plant'!$B$2:$B$37,$B10,'Plant'!$D$2:$D$37,$C10)</f>
        <v/>
      </c>
      <c r="V10">
        <f>SUMIFS('Plant'!$X$2:$X$37,'Plant'!$B$2:$B$37,$B10,'Plant'!$D$2:$D$37,$C10)</f>
        <v/>
      </c>
      <c r="W10">
        <f>SUMIFS('Plant'!$Y$2:$Y$37,'Plant'!$B$2:$B$37,$B10,'Plant'!$D$2:$D$37,$C10)</f>
        <v/>
      </c>
      <c r="X10">
        <f>SUMIFS('Plant'!$Z$2:$Z$37,'Plant'!$B$2:$B$37,$B10,'Plant'!$D$2:$D$37,$C10)</f>
        <v/>
      </c>
      <c r="Y10">
        <f>SUMIFS('Plant'!$AA$2:$AA$37,'Plant'!$B$2:$B$37,$B10,'Plant'!$D$2:$D$37,$C10)</f>
        <v/>
      </c>
      <c r="Z10">
        <f>SUMIFS('Plant'!$AB$2:$AB$37,'Plant'!$B$2:$B$37,$B10,'Plant'!$D$2:$D$37,$C10)</f>
        <v/>
      </c>
      <c r="AA10">
        <f>SUMIFS('Plant'!$AC$2:$AC$37,'Plant'!$B$2:$B$37,$B10,'Plant'!$D$2:$D$37,$C10)</f>
        <v/>
      </c>
      <c r="AB10">
        <f>SUMIFS('Plant'!$AD$2:$AD$37,'Plant'!$B$2:$B$37,$B10,'Plant'!$D$2:$D$37,$C10)</f>
        <v/>
      </c>
      <c r="AC10">
        <f>SUMIFS('Plant'!$AE$2:$AE$37,'Plant'!$B$2:$B$37,$B10,'Plant'!$D$2:$D$37,$C10)</f>
        <v/>
      </c>
      <c r="AD10">
        <f>SUMIFS('Plant'!$AF$2:$AF$37,'Plant'!$B$2:$B$37,$B10,'Plant'!$D$2:$D$37,$C10)</f>
        <v/>
      </c>
      <c r="AE10">
        <f>SUMIFS('Plant'!$AG$2:$AG$37,'Plant'!$B$2:$B$37,$B10,'Plant'!$D$2:$D$37,$C10)</f>
        <v/>
      </c>
      <c r="AF10">
        <f>SUMIFS('Plant'!$AH$2:$AH$37,'Plant'!$B$2:$B$37,$B10,'Plant'!$D$2:$D$37,$C10)</f>
        <v/>
      </c>
      <c r="AG10">
        <f>SUMIFS('Plant'!$AI$2:$AI$37,'Plant'!$B$2:$B$37,$B10,'Plant'!$D$2:$D$37,$C10)</f>
        <v/>
      </c>
      <c r="AH10">
        <f>SUMIFS('Plant'!$AJ$2:$AJ$37,'Plant'!$B$2:$B$37,$B10,'Plant'!$D$2:$D$37,$C10)</f>
        <v/>
      </c>
      <c r="AI10">
        <f>SUMIFS('Plant'!$AK$2:$AK$37,'Plant'!$B$2:$B$37,$B10,'Plant'!$D$2:$D$37,$C10)</f>
        <v/>
      </c>
      <c r="AJ10">
        <f>SUMIFS('Plant'!$AL$2:$AL$37,'Plant'!$B$2:$B$37,$B10,'Plant'!$D$2:$D$37,$C10)</f>
        <v/>
      </c>
      <c r="AK10">
        <f>SUMIFS('Plant'!$AM$2:$AM$37,'Plant'!$B$2:$B$37,$B10,'Plant'!$D$2:$D$37,$C10)</f>
        <v/>
      </c>
      <c r="AL10">
        <f>SUMIFS('Plant'!$AN$2:$AN$37,'Plant'!$B$2:$B$37,$B10,'Plant'!$D$2:$D$37,$C10)</f>
        <v/>
      </c>
      <c r="AM10">
        <f>SUMIFS('Plant'!$AO$2:$AO$37,'Plant'!$B$2:$B$37,$B10,'Plant'!$D$2:$D$37,$C10)</f>
        <v/>
      </c>
      <c r="AN10">
        <f>SUMIFS('Plant'!$AP$2:$AP$37,'Plant'!$B$2:$B$37,$B10,'Plant'!$D$2:$D$37,$C10)</f>
        <v/>
      </c>
      <c r="AO10">
        <f>SUMIFS('Plant'!$AQ$2:$AQ$37,'Plant'!$B$2:$B$37,$B10,'Plant'!$D$2:$D$37,$C10)</f>
        <v/>
      </c>
      <c r="AP10">
        <f>SUMIFS('Plant'!$AR$2:$AR$37,'Plant'!$B$2:$B$37,$B10,'Plant'!$D$2:$D$37,$C10)</f>
        <v/>
      </c>
      <c r="AQ10">
        <f>MINIFS('Plant'!$AS$2:$AS$37,'Plant'!$B$2:$B$37,$B10,'Plant'!$D$2:$D$37,$C10)</f>
        <v/>
      </c>
      <c r="AR10" s="3">
        <f>IFERROR(100*L10/J10,0)</f>
        <v/>
      </c>
      <c r="AS10" s="3">
        <f>IFERROR(100*L10/I10,0)</f>
        <v/>
      </c>
      <c r="AT10" s="3">
        <f>IFERROR(100*F10/D10,0)</f>
        <v/>
      </c>
      <c r="AU10" s="3">
        <f>IFERROR(100*L10/H10,0)</f>
        <v/>
      </c>
      <c r="AV10" s="3">
        <f>IFERROR(100*O10/N10,0)</f>
        <v/>
      </c>
      <c r="AW10" s="3">
        <f>IFERROR(100*L10/M10,0)</f>
        <v/>
      </c>
      <c r="AX10" s="3">
        <f>IFERROR(F10/Q10,0)</f>
        <v/>
      </c>
      <c r="AY10" s="3">
        <f>IFERROR(R10/Q10,0)</f>
        <v/>
      </c>
      <c r="AZ10" s="3">
        <f>G10</f>
        <v/>
      </c>
      <c r="BA10" s="3">
        <f>P10</f>
        <v/>
      </c>
      <c r="BB10" s="3">
        <f>IFERROR(100*T10/S10,0)</f>
        <v/>
      </c>
      <c r="BC10" s="3">
        <f>IFERROR(1000*(U10+W10)/L10,0)</f>
        <v/>
      </c>
      <c r="BD10" s="3">
        <f>U10</f>
        <v/>
      </c>
      <c r="BE10" s="3">
        <f>V10</f>
        <v/>
      </c>
      <c r="BF10" s="3">
        <f>X10</f>
        <v/>
      </c>
      <c r="BG10" s="3">
        <f>Y10</f>
        <v/>
      </c>
      <c r="BH10" s="3">
        <f>IFERROR(Z10/L10,0)</f>
        <v/>
      </c>
      <c r="BI10" s="3">
        <f>AA10</f>
        <v/>
      </c>
      <c r="BJ10" s="3">
        <f>AB10</f>
        <v/>
      </c>
      <c r="BK10" s="3">
        <f>AN10</f>
        <v/>
      </c>
      <c r="BL10" s="3">
        <f>IFERROR(100*AP10/AO10,0)</f>
        <v/>
      </c>
      <c r="BM10" s="3">
        <f>AI10</f>
        <v/>
      </c>
      <c r="BN10" s="3">
        <f>IFERROR(200000*AD10/AC10,0)</f>
        <v/>
      </c>
      <c r="BO10" s="3">
        <f>AE10</f>
        <v/>
      </c>
      <c r="BP10" s="3">
        <f>AF10</f>
        <v/>
      </c>
      <c r="BQ10" s="3">
        <f>AG10</f>
        <v/>
      </c>
      <c r="BR10" s="3">
        <f>AH10</f>
        <v/>
      </c>
      <c r="BS10" s="3">
        <f>AJ10</f>
        <v/>
      </c>
      <c r="BT10" s="3">
        <f>AK10</f>
        <v/>
      </c>
      <c r="BU10" s="3">
        <f>IF(AL10=0,100,100*AM10/AL10)</f>
        <v/>
      </c>
      <c r="BV10" s="3">
        <f>AQ10</f>
        <v/>
      </c>
    </row>
    <row r="11">
      <c r="A11" t="inlineStr">
        <is>
          <t>Group</t>
        </is>
      </c>
      <c r="B11" t="inlineStr">
        <is>
          <t>Entity A2</t>
        </is>
      </c>
      <c r="C11" t="inlineStr">
        <is>
          <t>2026-07</t>
        </is>
      </c>
      <c r="D11">
        <f>SUMIFS('Plant'!$F$2:$F$37,'Plant'!$B$2:$B$37,$B11,'Plant'!$D$2:$D$37,$C11)</f>
        <v/>
      </c>
      <c r="E11">
        <f>SUMIFS('Plant'!$G$2:$G$37,'Plant'!$B$2:$B$37,$B11,'Plant'!$D$2:$D$37,$C11)</f>
        <v/>
      </c>
      <c r="F11">
        <f>SUMIFS('Plant'!$H$2:$H$37,'Plant'!$B$2:$B$37,$B11,'Plant'!$D$2:$D$37,$C11)</f>
        <v/>
      </c>
      <c r="G11">
        <f>SUMIFS('Plant'!$I$2:$I$37,'Plant'!$B$2:$B$37,$B11,'Plant'!$D$2:$D$37,$C11)</f>
        <v/>
      </c>
      <c r="H11">
        <f>SUMIFS('Plant'!$J$2:$J$37,'Plant'!$B$2:$B$37,$B11,'Plant'!$D$2:$D$37,$C11)</f>
        <v/>
      </c>
      <c r="I11">
        <f>SUMIFS('Plant'!$K$2:$K$37,'Plant'!$B$2:$B$37,$B11,'Plant'!$D$2:$D$37,$C11)</f>
        <v/>
      </c>
      <c r="J11">
        <f>SUMIFS('Plant'!$L$2:$L$37,'Plant'!$B$2:$B$37,$B11,'Plant'!$D$2:$D$37,$C11)</f>
        <v/>
      </c>
      <c r="K11">
        <f>SUMIFS('Plant'!$M$2:$M$37,'Plant'!$B$2:$B$37,$B11,'Plant'!$D$2:$D$37,$C11)</f>
        <v/>
      </c>
      <c r="L11">
        <f>SUMIFS('Plant'!$N$2:$N$37,'Plant'!$B$2:$B$37,$B11,'Plant'!$D$2:$D$37,$C11)</f>
        <v/>
      </c>
      <c r="M11">
        <f>SUMIFS('Plant'!$O$2:$O$37,'Plant'!$B$2:$B$37,$B11,'Plant'!$D$2:$D$37,$C11)</f>
        <v/>
      </c>
      <c r="N11">
        <f>SUMIFS('Plant'!$P$2:$P$37,'Plant'!$B$2:$B$37,$B11,'Plant'!$D$2:$D$37,$C11)</f>
        <v/>
      </c>
      <c r="O11">
        <f>SUMIFS('Plant'!$Q$2:$Q$37,'Plant'!$B$2:$B$37,$B11,'Plant'!$D$2:$D$37,$C11)</f>
        <v/>
      </c>
      <c r="P11">
        <f>SUMIFS('Plant'!$R$2:$R$37,'Plant'!$B$2:$B$37,$B11,'Plant'!$D$2:$D$37,$C11)</f>
        <v/>
      </c>
      <c r="Q11">
        <f>SUMIFS('Plant'!$S$2:$S$37,'Plant'!$B$2:$B$37,$B11,'Plant'!$D$2:$D$37,$C11)</f>
        <v/>
      </c>
      <c r="R11">
        <f>SUMIFS('Plant'!$T$2:$T$37,'Plant'!$B$2:$B$37,$B11,'Plant'!$D$2:$D$37,$C11)</f>
        <v/>
      </c>
      <c r="S11">
        <f>SUMIFS('Plant'!$U$2:$U$37,'Plant'!$B$2:$B$37,$B11,'Plant'!$D$2:$D$37,$C11)</f>
        <v/>
      </c>
      <c r="T11">
        <f>SUMIFS('Plant'!$V$2:$V$37,'Plant'!$B$2:$B$37,$B11,'Plant'!$D$2:$D$37,$C11)</f>
        <v/>
      </c>
      <c r="U11">
        <f>SUMIFS('Plant'!$W$2:$W$37,'Plant'!$B$2:$B$37,$B11,'Plant'!$D$2:$D$37,$C11)</f>
        <v/>
      </c>
      <c r="V11">
        <f>SUMIFS('Plant'!$X$2:$X$37,'Plant'!$B$2:$B$37,$B11,'Plant'!$D$2:$D$37,$C11)</f>
        <v/>
      </c>
      <c r="W11">
        <f>SUMIFS('Plant'!$Y$2:$Y$37,'Plant'!$B$2:$B$37,$B11,'Plant'!$D$2:$D$37,$C11)</f>
        <v/>
      </c>
      <c r="X11">
        <f>SUMIFS('Plant'!$Z$2:$Z$37,'Plant'!$B$2:$B$37,$B11,'Plant'!$D$2:$D$37,$C11)</f>
        <v/>
      </c>
      <c r="Y11">
        <f>SUMIFS('Plant'!$AA$2:$AA$37,'Plant'!$B$2:$B$37,$B11,'Plant'!$D$2:$D$37,$C11)</f>
        <v/>
      </c>
      <c r="Z11">
        <f>SUMIFS('Plant'!$AB$2:$AB$37,'Plant'!$B$2:$B$37,$B11,'Plant'!$D$2:$D$37,$C11)</f>
        <v/>
      </c>
      <c r="AA11">
        <f>SUMIFS('Plant'!$AC$2:$AC$37,'Plant'!$B$2:$B$37,$B11,'Plant'!$D$2:$D$37,$C11)</f>
        <v/>
      </c>
      <c r="AB11">
        <f>SUMIFS('Plant'!$AD$2:$AD$37,'Plant'!$B$2:$B$37,$B11,'Plant'!$D$2:$D$37,$C11)</f>
        <v/>
      </c>
      <c r="AC11">
        <f>SUMIFS('Plant'!$AE$2:$AE$37,'Plant'!$B$2:$B$37,$B11,'Plant'!$D$2:$D$37,$C11)</f>
        <v/>
      </c>
      <c r="AD11">
        <f>SUMIFS('Plant'!$AF$2:$AF$37,'Plant'!$B$2:$B$37,$B11,'Plant'!$D$2:$D$37,$C11)</f>
        <v/>
      </c>
      <c r="AE11">
        <f>SUMIFS('Plant'!$AG$2:$AG$37,'Plant'!$B$2:$B$37,$B11,'Plant'!$D$2:$D$37,$C11)</f>
        <v/>
      </c>
      <c r="AF11">
        <f>SUMIFS('Plant'!$AH$2:$AH$37,'Plant'!$B$2:$B$37,$B11,'Plant'!$D$2:$D$37,$C11)</f>
        <v/>
      </c>
      <c r="AG11">
        <f>SUMIFS('Plant'!$AI$2:$AI$37,'Plant'!$B$2:$B$37,$B11,'Plant'!$D$2:$D$37,$C11)</f>
        <v/>
      </c>
      <c r="AH11">
        <f>SUMIFS('Plant'!$AJ$2:$AJ$37,'Plant'!$B$2:$B$37,$B11,'Plant'!$D$2:$D$37,$C11)</f>
        <v/>
      </c>
      <c r="AI11">
        <f>SUMIFS('Plant'!$AK$2:$AK$37,'Plant'!$B$2:$B$37,$B11,'Plant'!$D$2:$D$37,$C11)</f>
        <v/>
      </c>
      <c r="AJ11">
        <f>SUMIFS('Plant'!$AL$2:$AL$37,'Plant'!$B$2:$B$37,$B11,'Plant'!$D$2:$D$37,$C11)</f>
        <v/>
      </c>
      <c r="AK11">
        <f>SUMIFS('Plant'!$AM$2:$AM$37,'Plant'!$B$2:$B$37,$B11,'Plant'!$D$2:$D$37,$C11)</f>
        <v/>
      </c>
      <c r="AL11">
        <f>SUMIFS('Plant'!$AN$2:$AN$37,'Plant'!$B$2:$B$37,$B11,'Plant'!$D$2:$D$37,$C11)</f>
        <v/>
      </c>
      <c r="AM11">
        <f>SUMIFS('Plant'!$AO$2:$AO$37,'Plant'!$B$2:$B$37,$B11,'Plant'!$D$2:$D$37,$C11)</f>
        <v/>
      </c>
      <c r="AN11">
        <f>SUMIFS('Plant'!$AP$2:$AP$37,'Plant'!$B$2:$B$37,$B11,'Plant'!$D$2:$D$37,$C11)</f>
        <v/>
      </c>
      <c r="AO11">
        <f>SUMIFS('Plant'!$AQ$2:$AQ$37,'Plant'!$B$2:$B$37,$B11,'Plant'!$D$2:$D$37,$C11)</f>
        <v/>
      </c>
      <c r="AP11">
        <f>SUMIFS('Plant'!$AR$2:$AR$37,'Plant'!$B$2:$B$37,$B11,'Plant'!$D$2:$D$37,$C11)</f>
        <v/>
      </c>
      <c r="AQ11">
        <f>MINIFS('Plant'!$AS$2:$AS$37,'Plant'!$B$2:$B$37,$B11,'Plant'!$D$2:$D$37,$C11)</f>
        <v/>
      </c>
      <c r="AR11" s="3">
        <f>IFERROR(100*L11/J11,0)</f>
        <v/>
      </c>
      <c r="AS11" s="3">
        <f>IFERROR(100*L11/I11,0)</f>
        <v/>
      </c>
      <c r="AT11" s="3">
        <f>IFERROR(100*F11/D11,0)</f>
        <v/>
      </c>
      <c r="AU11" s="3">
        <f>IFERROR(100*L11/H11,0)</f>
        <v/>
      </c>
      <c r="AV11" s="3">
        <f>IFERROR(100*O11/N11,0)</f>
        <v/>
      </c>
      <c r="AW11" s="3">
        <f>IFERROR(100*L11/M11,0)</f>
        <v/>
      </c>
      <c r="AX11" s="3">
        <f>IFERROR(F11/Q11,0)</f>
        <v/>
      </c>
      <c r="AY11" s="3">
        <f>IFERROR(R11/Q11,0)</f>
        <v/>
      </c>
      <c r="AZ11" s="3">
        <f>G11</f>
        <v/>
      </c>
      <c r="BA11" s="3">
        <f>P11</f>
        <v/>
      </c>
      <c r="BB11" s="3">
        <f>IFERROR(100*T11/S11,0)</f>
        <v/>
      </c>
      <c r="BC11" s="3">
        <f>IFERROR(1000*(U11+W11)/L11,0)</f>
        <v/>
      </c>
      <c r="BD11" s="3">
        <f>U11</f>
        <v/>
      </c>
      <c r="BE11" s="3">
        <f>V11</f>
        <v/>
      </c>
      <c r="BF11" s="3">
        <f>X11</f>
        <v/>
      </c>
      <c r="BG11" s="3">
        <f>Y11</f>
        <v/>
      </c>
      <c r="BH11" s="3">
        <f>IFERROR(Z11/L11,0)</f>
        <v/>
      </c>
      <c r="BI11" s="3">
        <f>AA11</f>
        <v/>
      </c>
      <c r="BJ11" s="3">
        <f>AB11</f>
        <v/>
      </c>
      <c r="BK11" s="3">
        <f>AN11</f>
        <v/>
      </c>
      <c r="BL11" s="3">
        <f>IFERROR(100*AP11/AO11,0)</f>
        <v/>
      </c>
      <c r="BM11" s="3">
        <f>AI11</f>
        <v/>
      </c>
      <c r="BN11" s="3">
        <f>IFERROR(200000*AD11/AC11,0)</f>
        <v/>
      </c>
      <c r="BO11" s="3">
        <f>AE11</f>
        <v/>
      </c>
      <c r="BP11" s="3">
        <f>AF11</f>
        <v/>
      </c>
      <c r="BQ11" s="3">
        <f>AG11</f>
        <v/>
      </c>
      <c r="BR11" s="3">
        <f>AH11</f>
        <v/>
      </c>
      <c r="BS11" s="3">
        <f>AJ11</f>
        <v/>
      </c>
      <c r="BT11" s="3">
        <f>AK11</f>
        <v/>
      </c>
      <c r="BU11" s="3">
        <f>IF(AL11=0,100,100*AM11/AL11)</f>
        <v/>
      </c>
      <c r="BV11" s="3">
        <f>AQ11</f>
        <v/>
      </c>
    </row>
    <row r="12">
      <c r="A12" t="inlineStr">
        <is>
          <t>Group</t>
        </is>
      </c>
      <c r="B12" t="inlineStr">
        <is>
          <t>Entity A2</t>
        </is>
      </c>
      <c r="C12" t="inlineStr">
        <is>
          <t>2026-08</t>
        </is>
      </c>
      <c r="D12">
        <f>SUMIFS('Plant'!$F$2:$F$37,'Plant'!$B$2:$B$37,$B12,'Plant'!$D$2:$D$37,$C12)</f>
        <v/>
      </c>
      <c r="E12">
        <f>SUMIFS('Plant'!$G$2:$G$37,'Plant'!$B$2:$B$37,$B12,'Plant'!$D$2:$D$37,$C12)</f>
        <v/>
      </c>
      <c r="F12">
        <f>SUMIFS('Plant'!$H$2:$H$37,'Plant'!$B$2:$B$37,$B12,'Plant'!$D$2:$D$37,$C12)</f>
        <v/>
      </c>
      <c r="G12">
        <f>SUMIFS('Plant'!$I$2:$I$37,'Plant'!$B$2:$B$37,$B12,'Plant'!$D$2:$D$37,$C12)</f>
        <v/>
      </c>
      <c r="H12">
        <f>SUMIFS('Plant'!$J$2:$J$37,'Plant'!$B$2:$B$37,$B12,'Plant'!$D$2:$D$37,$C12)</f>
        <v/>
      </c>
      <c r="I12">
        <f>SUMIFS('Plant'!$K$2:$K$37,'Plant'!$B$2:$B$37,$B12,'Plant'!$D$2:$D$37,$C12)</f>
        <v/>
      </c>
      <c r="J12">
        <f>SUMIFS('Plant'!$L$2:$L$37,'Plant'!$B$2:$B$37,$B12,'Plant'!$D$2:$D$37,$C12)</f>
        <v/>
      </c>
      <c r="K12">
        <f>SUMIFS('Plant'!$M$2:$M$37,'Plant'!$B$2:$B$37,$B12,'Plant'!$D$2:$D$37,$C12)</f>
        <v/>
      </c>
      <c r="L12">
        <f>SUMIFS('Plant'!$N$2:$N$37,'Plant'!$B$2:$B$37,$B12,'Plant'!$D$2:$D$37,$C12)</f>
        <v/>
      </c>
      <c r="M12">
        <f>SUMIFS('Plant'!$O$2:$O$37,'Plant'!$B$2:$B$37,$B12,'Plant'!$D$2:$D$37,$C12)</f>
        <v/>
      </c>
      <c r="N12">
        <f>SUMIFS('Plant'!$P$2:$P$37,'Plant'!$B$2:$B$37,$B12,'Plant'!$D$2:$D$37,$C12)</f>
        <v/>
      </c>
      <c r="O12">
        <f>SUMIFS('Plant'!$Q$2:$Q$37,'Plant'!$B$2:$B$37,$B12,'Plant'!$D$2:$D$37,$C12)</f>
        <v/>
      </c>
      <c r="P12">
        <f>SUMIFS('Plant'!$R$2:$R$37,'Plant'!$B$2:$B$37,$B12,'Plant'!$D$2:$D$37,$C12)</f>
        <v/>
      </c>
      <c r="Q12">
        <f>SUMIFS('Plant'!$S$2:$S$37,'Plant'!$B$2:$B$37,$B12,'Plant'!$D$2:$D$37,$C12)</f>
        <v/>
      </c>
      <c r="R12">
        <f>SUMIFS('Plant'!$T$2:$T$37,'Plant'!$B$2:$B$37,$B12,'Plant'!$D$2:$D$37,$C12)</f>
        <v/>
      </c>
      <c r="S12">
        <f>SUMIFS('Plant'!$U$2:$U$37,'Plant'!$B$2:$B$37,$B12,'Plant'!$D$2:$D$37,$C12)</f>
        <v/>
      </c>
      <c r="T12">
        <f>SUMIFS('Plant'!$V$2:$V$37,'Plant'!$B$2:$B$37,$B12,'Plant'!$D$2:$D$37,$C12)</f>
        <v/>
      </c>
      <c r="U12">
        <f>SUMIFS('Plant'!$W$2:$W$37,'Plant'!$B$2:$B$37,$B12,'Plant'!$D$2:$D$37,$C12)</f>
        <v/>
      </c>
      <c r="V12">
        <f>SUMIFS('Plant'!$X$2:$X$37,'Plant'!$B$2:$B$37,$B12,'Plant'!$D$2:$D$37,$C12)</f>
        <v/>
      </c>
      <c r="W12">
        <f>SUMIFS('Plant'!$Y$2:$Y$37,'Plant'!$B$2:$B$37,$B12,'Plant'!$D$2:$D$37,$C12)</f>
        <v/>
      </c>
      <c r="X12">
        <f>SUMIFS('Plant'!$Z$2:$Z$37,'Plant'!$B$2:$B$37,$B12,'Plant'!$D$2:$D$37,$C12)</f>
        <v/>
      </c>
      <c r="Y12">
        <f>SUMIFS('Plant'!$AA$2:$AA$37,'Plant'!$B$2:$B$37,$B12,'Plant'!$D$2:$D$37,$C12)</f>
        <v/>
      </c>
      <c r="Z12">
        <f>SUMIFS('Plant'!$AB$2:$AB$37,'Plant'!$B$2:$B$37,$B12,'Plant'!$D$2:$D$37,$C12)</f>
        <v/>
      </c>
      <c r="AA12">
        <f>SUMIFS('Plant'!$AC$2:$AC$37,'Plant'!$B$2:$B$37,$B12,'Plant'!$D$2:$D$37,$C12)</f>
        <v/>
      </c>
      <c r="AB12">
        <f>SUMIFS('Plant'!$AD$2:$AD$37,'Plant'!$B$2:$B$37,$B12,'Plant'!$D$2:$D$37,$C12)</f>
        <v/>
      </c>
      <c r="AC12">
        <f>SUMIFS('Plant'!$AE$2:$AE$37,'Plant'!$B$2:$B$37,$B12,'Plant'!$D$2:$D$37,$C12)</f>
        <v/>
      </c>
      <c r="AD12">
        <f>SUMIFS('Plant'!$AF$2:$AF$37,'Plant'!$B$2:$B$37,$B12,'Plant'!$D$2:$D$37,$C12)</f>
        <v/>
      </c>
      <c r="AE12">
        <f>SUMIFS('Plant'!$AG$2:$AG$37,'Plant'!$B$2:$B$37,$B12,'Plant'!$D$2:$D$37,$C12)</f>
        <v/>
      </c>
      <c r="AF12">
        <f>SUMIFS('Plant'!$AH$2:$AH$37,'Plant'!$B$2:$B$37,$B12,'Plant'!$D$2:$D$37,$C12)</f>
        <v/>
      </c>
      <c r="AG12">
        <f>SUMIFS('Plant'!$AI$2:$AI$37,'Plant'!$B$2:$B$37,$B12,'Plant'!$D$2:$D$37,$C12)</f>
        <v/>
      </c>
      <c r="AH12">
        <f>SUMIFS('Plant'!$AJ$2:$AJ$37,'Plant'!$B$2:$B$37,$B12,'Plant'!$D$2:$D$37,$C12)</f>
        <v/>
      </c>
      <c r="AI12">
        <f>SUMIFS('Plant'!$AK$2:$AK$37,'Plant'!$B$2:$B$37,$B12,'Plant'!$D$2:$D$37,$C12)</f>
        <v/>
      </c>
      <c r="AJ12">
        <f>SUMIFS('Plant'!$AL$2:$AL$37,'Plant'!$B$2:$B$37,$B12,'Plant'!$D$2:$D$37,$C12)</f>
        <v/>
      </c>
      <c r="AK12">
        <f>SUMIFS('Plant'!$AM$2:$AM$37,'Plant'!$B$2:$B$37,$B12,'Plant'!$D$2:$D$37,$C12)</f>
        <v/>
      </c>
      <c r="AL12">
        <f>SUMIFS('Plant'!$AN$2:$AN$37,'Plant'!$B$2:$B$37,$B12,'Plant'!$D$2:$D$37,$C12)</f>
        <v/>
      </c>
      <c r="AM12">
        <f>SUMIFS('Plant'!$AO$2:$AO$37,'Plant'!$B$2:$B$37,$B12,'Plant'!$D$2:$D$37,$C12)</f>
        <v/>
      </c>
      <c r="AN12">
        <f>SUMIFS('Plant'!$AP$2:$AP$37,'Plant'!$B$2:$B$37,$B12,'Plant'!$D$2:$D$37,$C12)</f>
        <v/>
      </c>
      <c r="AO12">
        <f>SUMIFS('Plant'!$AQ$2:$AQ$37,'Plant'!$B$2:$B$37,$B12,'Plant'!$D$2:$D$37,$C12)</f>
        <v/>
      </c>
      <c r="AP12">
        <f>SUMIFS('Plant'!$AR$2:$AR$37,'Plant'!$B$2:$B$37,$B12,'Plant'!$D$2:$D$37,$C12)</f>
        <v/>
      </c>
      <c r="AQ12">
        <f>MINIFS('Plant'!$AS$2:$AS$37,'Plant'!$B$2:$B$37,$B12,'Plant'!$D$2:$D$37,$C12)</f>
        <v/>
      </c>
      <c r="AR12" s="3">
        <f>IFERROR(100*L12/J12,0)</f>
        <v/>
      </c>
      <c r="AS12" s="3">
        <f>IFERROR(100*L12/I12,0)</f>
        <v/>
      </c>
      <c r="AT12" s="3">
        <f>IFERROR(100*F12/D12,0)</f>
        <v/>
      </c>
      <c r="AU12" s="3">
        <f>IFERROR(100*L12/H12,0)</f>
        <v/>
      </c>
      <c r="AV12" s="3">
        <f>IFERROR(100*O12/N12,0)</f>
        <v/>
      </c>
      <c r="AW12" s="3">
        <f>IFERROR(100*L12/M12,0)</f>
        <v/>
      </c>
      <c r="AX12" s="3">
        <f>IFERROR(F12/Q12,0)</f>
        <v/>
      </c>
      <c r="AY12" s="3">
        <f>IFERROR(R12/Q12,0)</f>
        <v/>
      </c>
      <c r="AZ12" s="3">
        <f>G12</f>
        <v/>
      </c>
      <c r="BA12" s="3">
        <f>P12</f>
        <v/>
      </c>
      <c r="BB12" s="3">
        <f>IFERROR(100*T12/S12,0)</f>
        <v/>
      </c>
      <c r="BC12" s="3">
        <f>IFERROR(1000*(U12+W12)/L12,0)</f>
        <v/>
      </c>
      <c r="BD12" s="3">
        <f>U12</f>
        <v/>
      </c>
      <c r="BE12" s="3">
        <f>V12</f>
        <v/>
      </c>
      <c r="BF12" s="3">
        <f>X12</f>
        <v/>
      </c>
      <c r="BG12" s="3">
        <f>Y12</f>
        <v/>
      </c>
      <c r="BH12" s="3">
        <f>IFERROR(Z12/L12,0)</f>
        <v/>
      </c>
      <c r="BI12" s="3">
        <f>AA12</f>
        <v/>
      </c>
      <c r="BJ12" s="3">
        <f>AB12</f>
        <v/>
      </c>
      <c r="BK12" s="3">
        <f>AN12</f>
        <v/>
      </c>
      <c r="BL12" s="3">
        <f>IFERROR(100*AP12/AO12,0)</f>
        <v/>
      </c>
      <c r="BM12" s="3">
        <f>AI12</f>
        <v/>
      </c>
      <c r="BN12" s="3">
        <f>IFERROR(200000*AD12/AC12,0)</f>
        <v/>
      </c>
      <c r="BO12" s="3">
        <f>AE12</f>
        <v/>
      </c>
      <c r="BP12" s="3">
        <f>AF12</f>
        <v/>
      </c>
      <c r="BQ12" s="3">
        <f>AG12</f>
        <v/>
      </c>
      <c r="BR12" s="3">
        <f>AH12</f>
        <v/>
      </c>
      <c r="BS12" s="3">
        <f>AJ12</f>
        <v/>
      </c>
      <c r="BT12" s="3">
        <f>AK12</f>
        <v/>
      </c>
      <c r="BU12" s="3">
        <f>IF(AL12=0,100,100*AM12/AL12)</f>
        <v/>
      </c>
      <c r="BV12" s="3">
        <f>AQ12</f>
        <v/>
      </c>
    </row>
    <row r="13">
      <c r="A13" t="inlineStr">
        <is>
          <t>Group</t>
        </is>
      </c>
      <c r="B13" t="inlineStr">
        <is>
          <t>Entity A2</t>
        </is>
      </c>
      <c r="C13" t="inlineStr">
        <is>
          <t>2026-09</t>
        </is>
      </c>
      <c r="D13">
        <f>SUMIFS('Plant'!$F$2:$F$37,'Plant'!$B$2:$B$37,$B13,'Plant'!$D$2:$D$37,$C13)</f>
        <v/>
      </c>
      <c r="E13">
        <f>SUMIFS('Plant'!$G$2:$G$37,'Plant'!$B$2:$B$37,$B13,'Plant'!$D$2:$D$37,$C13)</f>
        <v/>
      </c>
      <c r="F13">
        <f>SUMIFS('Plant'!$H$2:$H$37,'Plant'!$B$2:$B$37,$B13,'Plant'!$D$2:$D$37,$C13)</f>
        <v/>
      </c>
      <c r="G13">
        <f>SUMIFS('Plant'!$I$2:$I$37,'Plant'!$B$2:$B$37,$B13,'Plant'!$D$2:$D$37,$C13)</f>
        <v/>
      </c>
      <c r="H13">
        <f>SUMIFS('Plant'!$J$2:$J$37,'Plant'!$B$2:$B$37,$B13,'Plant'!$D$2:$D$37,$C13)</f>
        <v/>
      </c>
      <c r="I13">
        <f>SUMIFS('Plant'!$K$2:$K$37,'Plant'!$B$2:$B$37,$B13,'Plant'!$D$2:$D$37,$C13)</f>
        <v/>
      </c>
      <c r="J13">
        <f>SUMIFS('Plant'!$L$2:$L$37,'Plant'!$B$2:$B$37,$B13,'Plant'!$D$2:$D$37,$C13)</f>
        <v/>
      </c>
      <c r="K13">
        <f>SUMIFS('Plant'!$M$2:$M$37,'Plant'!$B$2:$B$37,$B13,'Plant'!$D$2:$D$37,$C13)</f>
        <v/>
      </c>
      <c r="L13">
        <f>SUMIFS('Plant'!$N$2:$N$37,'Plant'!$B$2:$B$37,$B13,'Plant'!$D$2:$D$37,$C13)</f>
        <v/>
      </c>
      <c r="M13">
        <f>SUMIFS('Plant'!$O$2:$O$37,'Plant'!$B$2:$B$37,$B13,'Plant'!$D$2:$D$37,$C13)</f>
        <v/>
      </c>
      <c r="N13">
        <f>SUMIFS('Plant'!$P$2:$P$37,'Plant'!$B$2:$B$37,$B13,'Plant'!$D$2:$D$37,$C13)</f>
        <v/>
      </c>
      <c r="O13">
        <f>SUMIFS('Plant'!$Q$2:$Q$37,'Plant'!$B$2:$B$37,$B13,'Plant'!$D$2:$D$37,$C13)</f>
        <v/>
      </c>
      <c r="P13">
        <f>SUMIFS('Plant'!$R$2:$R$37,'Plant'!$B$2:$B$37,$B13,'Plant'!$D$2:$D$37,$C13)</f>
        <v/>
      </c>
      <c r="Q13">
        <f>SUMIFS('Plant'!$S$2:$S$37,'Plant'!$B$2:$B$37,$B13,'Plant'!$D$2:$D$37,$C13)</f>
        <v/>
      </c>
      <c r="R13">
        <f>SUMIFS('Plant'!$T$2:$T$37,'Plant'!$B$2:$B$37,$B13,'Plant'!$D$2:$D$37,$C13)</f>
        <v/>
      </c>
      <c r="S13">
        <f>SUMIFS('Plant'!$U$2:$U$37,'Plant'!$B$2:$B$37,$B13,'Plant'!$D$2:$D$37,$C13)</f>
        <v/>
      </c>
      <c r="T13">
        <f>SUMIFS('Plant'!$V$2:$V$37,'Plant'!$B$2:$B$37,$B13,'Plant'!$D$2:$D$37,$C13)</f>
        <v/>
      </c>
      <c r="U13">
        <f>SUMIFS('Plant'!$W$2:$W$37,'Plant'!$B$2:$B$37,$B13,'Plant'!$D$2:$D$37,$C13)</f>
        <v/>
      </c>
      <c r="V13">
        <f>SUMIFS('Plant'!$X$2:$X$37,'Plant'!$B$2:$B$37,$B13,'Plant'!$D$2:$D$37,$C13)</f>
        <v/>
      </c>
      <c r="W13">
        <f>SUMIFS('Plant'!$Y$2:$Y$37,'Plant'!$B$2:$B$37,$B13,'Plant'!$D$2:$D$37,$C13)</f>
        <v/>
      </c>
      <c r="X13">
        <f>SUMIFS('Plant'!$Z$2:$Z$37,'Plant'!$B$2:$B$37,$B13,'Plant'!$D$2:$D$37,$C13)</f>
        <v/>
      </c>
      <c r="Y13">
        <f>SUMIFS('Plant'!$AA$2:$AA$37,'Plant'!$B$2:$B$37,$B13,'Plant'!$D$2:$D$37,$C13)</f>
        <v/>
      </c>
      <c r="Z13">
        <f>SUMIFS('Plant'!$AB$2:$AB$37,'Plant'!$B$2:$B$37,$B13,'Plant'!$D$2:$D$37,$C13)</f>
        <v/>
      </c>
      <c r="AA13">
        <f>SUMIFS('Plant'!$AC$2:$AC$37,'Plant'!$B$2:$B$37,$B13,'Plant'!$D$2:$D$37,$C13)</f>
        <v/>
      </c>
      <c r="AB13">
        <f>SUMIFS('Plant'!$AD$2:$AD$37,'Plant'!$B$2:$B$37,$B13,'Plant'!$D$2:$D$37,$C13)</f>
        <v/>
      </c>
      <c r="AC13">
        <f>SUMIFS('Plant'!$AE$2:$AE$37,'Plant'!$B$2:$B$37,$B13,'Plant'!$D$2:$D$37,$C13)</f>
        <v/>
      </c>
      <c r="AD13">
        <f>SUMIFS('Plant'!$AF$2:$AF$37,'Plant'!$B$2:$B$37,$B13,'Plant'!$D$2:$D$37,$C13)</f>
        <v/>
      </c>
      <c r="AE13">
        <f>SUMIFS('Plant'!$AG$2:$AG$37,'Plant'!$B$2:$B$37,$B13,'Plant'!$D$2:$D$37,$C13)</f>
        <v/>
      </c>
      <c r="AF13">
        <f>SUMIFS('Plant'!$AH$2:$AH$37,'Plant'!$B$2:$B$37,$B13,'Plant'!$D$2:$D$37,$C13)</f>
        <v/>
      </c>
      <c r="AG13">
        <f>SUMIFS('Plant'!$AI$2:$AI$37,'Plant'!$B$2:$B$37,$B13,'Plant'!$D$2:$D$37,$C13)</f>
        <v/>
      </c>
      <c r="AH13">
        <f>SUMIFS('Plant'!$AJ$2:$AJ$37,'Plant'!$B$2:$B$37,$B13,'Plant'!$D$2:$D$37,$C13)</f>
        <v/>
      </c>
      <c r="AI13">
        <f>SUMIFS('Plant'!$AK$2:$AK$37,'Plant'!$B$2:$B$37,$B13,'Plant'!$D$2:$D$37,$C13)</f>
        <v/>
      </c>
      <c r="AJ13">
        <f>SUMIFS('Plant'!$AL$2:$AL$37,'Plant'!$B$2:$B$37,$B13,'Plant'!$D$2:$D$37,$C13)</f>
        <v/>
      </c>
      <c r="AK13">
        <f>SUMIFS('Plant'!$AM$2:$AM$37,'Plant'!$B$2:$B$37,$B13,'Plant'!$D$2:$D$37,$C13)</f>
        <v/>
      </c>
      <c r="AL13">
        <f>SUMIFS('Plant'!$AN$2:$AN$37,'Plant'!$B$2:$B$37,$B13,'Plant'!$D$2:$D$37,$C13)</f>
        <v/>
      </c>
      <c r="AM13">
        <f>SUMIFS('Plant'!$AO$2:$AO$37,'Plant'!$B$2:$B$37,$B13,'Plant'!$D$2:$D$37,$C13)</f>
        <v/>
      </c>
      <c r="AN13">
        <f>SUMIFS('Plant'!$AP$2:$AP$37,'Plant'!$B$2:$B$37,$B13,'Plant'!$D$2:$D$37,$C13)</f>
        <v/>
      </c>
      <c r="AO13">
        <f>SUMIFS('Plant'!$AQ$2:$AQ$37,'Plant'!$B$2:$B$37,$B13,'Plant'!$D$2:$D$37,$C13)</f>
        <v/>
      </c>
      <c r="AP13">
        <f>SUMIFS('Plant'!$AR$2:$AR$37,'Plant'!$B$2:$B$37,$B13,'Plant'!$D$2:$D$37,$C13)</f>
        <v/>
      </c>
      <c r="AQ13">
        <f>MINIFS('Plant'!$AS$2:$AS$37,'Plant'!$B$2:$B$37,$B13,'Plant'!$D$2:$D$37,$C13)</f>
        <v/>
      </c>
      <c r="AR13" s="3">
        <f>IFERROR(100*L13/J13,0)</f>
        <v/>
      </c>
      <c r="AS13" s="3">
        <f>IFERROR(100*L13/I13,0)</f>
        <v/>
      </c>
      <c r="AT13" s="3">
        <f>IFERROR(100*F13/D13,0)</f>
        <v/>
      </c>
      <c r="AU13" s="3">
        <f>IFERROR(100*L13/H13,0)</f>
        <v/>
      </c>
      <c r="AV13" s="3">
        <f>IFERROR(100*O13/N13,0)</f>
        <v/>
      </c>
      <c r="AW13" s="3">
        <f>IFERROR(100*L13/M13,0)</f>
        <v/>
      </c>
      <c r="AX13" s="3">
        <f>IFERROR(F13/Q13,0)</f>
        <v/>
      </c>
      <c r="AY13" s="3">
        <f>IFERROR(R13/Q13,0)</f>
        <v/>
      </c>
      <c r="AZ13" s="3">
        <f>G13</f>
        <v/>
      </c>
      <c r="BA13" s="3">
        <f>P13</f>
        <v/>
      </c>
      <c r="BB13" s="3">
        <f>IFERROR(100*T13/S13,0)</f>
        <v/>
      </c>
      <c r="BC13" s="3">
        <f>IFERROR(1000*(U13+W13)/L13,0)</f>
        <v/>
      </c>
      <c r="BD13" s="3">
        <f>U13</f>
        <v/>
      </c>
      <c r="BE13" s="3">
        <f>V13</f>
        <v/>
      </c>
      <c r="BF13" s="3">
        <f>X13</f>
        <v/>
      </c>
      <c r="BG13" s="3">
        <f>Y13</f>
        <v/>
      </c>
      <c r="BH13" s="3">
        <f>IFERROR(Z13/L13,0)</f>
        <v/>
      </c>
      <c r="BI13" s="3">
        <f>AA13</f>
        <v/>
      </c>
      <c r="BJ13" s="3">
        <f>AB13</f>
        <v/>
      </c>
      <c r="BK13" s="3">
        <f>AN13</f>
        <v/>
      </c>
      <c r="BL13" s="3">
        <f>IFERROR(100*AP13/AO13,0)</f>
        <v/>
      </c>
      <c r="BM13" s="3">
        <f>AI13</f>
        <v/>
      </c>
      <c r="BN13" s="3">
        <f>IFERROR(200000*AD13/AC13,0)</f>
        <v/>
      </c>
      <c r="BO13" s="3">
        <f>AE13</f>
        <v/>
      </c>
      <c r="BP13" s="3">
        <f>AF13</f>
        <v/>
      </c>
      <c r="BQ13" s="3">
        <f>AG13</f>
        <v/>
      </c>
      <c r="BR13" s="3">
        <f>AH13</f>
        <v/>
      </c>
      <c r="BS13" s="3">
        <f>AJ13</f>
        <v/>
      </c>
      <c r="BT13" s="3">
        <f>AK13</f>
        <v/>
      </c>
      <c r="BU13" s="3">
        <f>IF(AL13=0,100,100*AM13/AL13)</f>
        <v/>
      </c>
      <c r="BV13" s="3">
        <f>AQ13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</cols>
  <sheetData>
    <row r="1">
      <c r="A1" s="1" t="inlineStr">
        <is>
          <t>group</t>
        </is>
      </c>
      <c r="B1" s="1" t="inlineStr">
        <is>
          <t>period</t>
        </is>
      </c>
      <c r="C1" s="1" t="inlineStr">
        <is>
          <t>calendar_hours</t>
        </is>
      </c>
      <c r="D1" s="1" t="inlineStr">
        <is>
          <t>planned_op_hours</t>
        </is>
      </c>
      <c r="E1" s="1" t="inlineStr">
        <is>
          <t>run_hours</t>
        </is>
      </c>
      <c r="F1" s="1" t="inlineStr">
        <is>
          <t>unplanned_downtime_hours</t>
        </is>
      </c>
      <c r="G1" s="1" t="inlineStr">
        <is>
          <t>ideal_output_t</t>
        </is>
      </c>
      <c r="H1" s="1" t="inlineStr">
        <is>
          <t>installed_capacity_t</t>
        </is>
      </c>
      <c r="I1" s="1" t="inlineStr">
        <is>
          <t>planned_production_t</t>
        </is>
      </c>
      <c r="J1" s="1" t="inlineStr">
        <is>
          <t>gross_output_t</t>
        </is>
      </c>
      <c r="K1" s="1" t="inlineStr">
        <is>
          <t>good_output_t</t>
        </is>
      </c>
      <c r="L1" s="1" t="inlineStr">
        <is>
          <t>feed_input_t</t>
        </is>
      </c>
      <c r="M1" s="1" t="inlineStr">
        <is>
          <t>feed_contained_t</t>
        </is>
      </c>
      <c r="N1" s="1" t="inlineStr">
        <is>
          <t>recovered_contained_t</t>
        </is>
      </c>
      <c r="O1" s="1" t="inlineStr">
        <is>
          <t>prod_loss_downtime_t</t>
        </is>
      </c>
      <c r="P1" s="1" t="inlineStr">
        <is>
          <t>failures</t>
        </is>
      </c>
      <c r="Q1" s="1" t="inlineStr">
        <is>
          <t>repair_hours</t>
        </is>
      </c>
      <c r="R1" s="1" t="inlineStr">
        <is>
          <t>pm_scheduled</t>
        </is>
      </c>
      <c r="S1" s="1" t="inlineStr">
        <is>
          <t>pm_completed</t>
        </is>
      </c>
      <c r="T1" s="1" t="inlineStr">
        <is>
          <t>variable_cost_k</t>
        </is>
      </c>
      <c r="U1" s="1" t="inlineStr">
        <is>
          <t>fuel_cost_k</t>
        </is>
      </c>
      <c r="V1" s="1" t="inlineStr">
        <is>
          <t>fixed_cost_k</t>
        </is>
      </c>
      <c r="W1" s="1" t="inlineStr">
        <is>
          <t>water_m3</t>
        </is>
      </c>
      <c r="X1" s="1" t="inlineStr">
        <is>
          <t>emissions_tco2e</t>
        </is>
      </c>
      <c r="Y1" s="1" t="inlineStr">
        <is>
          <t>energy_gj</t>
        </is>
      </c>
      <c r="Z1" s="1" t="inlineStr">
        <is>
          <t>production_at_risk_t</t>
        </is>
      </c>
      <c r="AA1" s="1" t="inlineStr">
        <is>
          <t>critical_plant_alerts</t>
        </is>
      </c>
      <c r="AB1" s="1" t="inlineStr">
        <is>
          <t>hours_worked</t>
        </is>
      </c>
      <c r="AC1" s="1" t="inlineStr">
        <is>
          <t>recordable_injuries</t>
        </is>
      </c>
      <c r="AD1" s="1" t="inlineStr">
        <is>
          <t>severity_incidents</t>
        </is>
      </c>
      <c r="AE1" s="1" t="inlineStr">
        <is>
          <t>near_misses</t>
        </is>
      </c>
      <c r="AF1" s="1" t="inlineStr">
        <is>
          <t>critical_safety_incidents</t>
        </is>
      </c>
      <c r="AG1" s="1" t="inlineStr">
        <is>
          <t>env_excursions</t>
        </is>
      </c>
      <c r="AH1" s="1" t="inlineStr">
        <is>
          <t>env_violations</t>
        </is>
      </c>
      <c r="AI1" s="1" t="inlineStr">
        <is>
          <t>ehs_ca_open</t>
        </is>
      </c>
      <c r="AJ1" s="1" t="inlineStr">
        <is>
          <t>ehs_ca_overdue</t>
        </is>
      </c>
      <c r="AK1" s="1" t="inlineStr">
        <is>
          <t>investigations_due</t>
        </is>
      </c>
      <c r="AL1" s="1" t="inlineStr">
        <is>
          <t>investigations_completed</t>
        </is>
      </c>
      <c r="AM1" s="1" t="inlineStr">
        <is>
          <t>critical_material_risks</t>
        </is>
      </c>
      <c r="AN1" s="1" t="inlineStr">
        <is>
          <t>dispatches_total</t>
        </is>
      </c>
      <c r="AO1" s="1" t="inlineStr">
        <is>
          <t>dispatches_delayed</t>
        </is>
      </c>
      <c r="AP1" s="1" t="inlineStr">
        <is>
          <t>permit_days_to_expiry</t>
        </is>
      </c>
      <c r="AQ1" s="2" t="inlineStr">
        <is>
          <t>OPS-001</t>
        </is>
      </c>
      <c r="AR1" s="2" t="inlineStr">
        <is>
          <t>OPS-003</t>
        </is>
      </c>
      <c r="AS1" s="2" t="inlineStr">
        <is>
          <t>PLT-001</t>
        </is>
      </c>
      <c r="AT1" s="2" t="inlineStr">
        <is>
          <t>PLT-002</t>
        </is>
      </c>
      <c r="AU1" s="2" t="inlineStr">
        <is>
          <t>PLT-004</t>
        </is>
      </c>
      <c r="AV1" s="2" t="inlineStr">
        <is>
          <t>PLT-005</t>
        </is>
      </c>
      <c r="AW1" s="2" t="inlineStr">
        <is>
          <t>REL-001</t>
        </is>
      </c>
      <c r="AX1" s="2" t="inlineStr">
        <is>
          <t>REL-002</t>
        </is>
      </c>
      <c r="AY1" s="2" t="inlineStr">
        <is>
          <t>REL-003</t>
        </is>
      </c>
      <c r="AZ1" s="2" t="inlineStr">
        <is>
          <t>REL-004</t>
        </is>
      </c>
      <c r="BA1" s="2" t="inlineStr">
        <is>
          <t>REL-005</t>
        </is>
      </c>
      <c r="BB1" s="2" t="inlineStr">
        <is>
          <t>CST-001</t>
        </is>
      </c>
      <c r="BC1" s="2" t="inlineStr">
        <is>
          <t>CST-002</t>
        </is>
      </c>
      <c r="BD1" s="2" t="inlineStr">
        <is>
          <t>CST-003</t>
        </is>
      </c>
      <c r="BE1" s="2" t="inlineStr">
        <is>
          <t>SUS-001</t>
        </is>
      </c>
      <c r="BF1" s="2" t="inlineStr">
        <is>
          <t>SUS-002</t>
        </is>
      </c>
      <c r="BG1" s="2" t="inlineStr">
        <is>
          <t>SUS-003</t>
        </is>
      </c>
      <c r="BH1" s="2" t="inlineStr">
        <is>
          <t>SIG-007</t>
        </is>
      </c>
      <c r="BI1" s="2" t="inlineStr">
        <is>
          <t>SIG-008</t>
        </is>
      </c>
      <c r="BJ1" s="2" t="inlineStr">
        <is>
          <t>SIG-009</t>
        </is>
      </c>
      <c r="BK1" s="2" t="inlineStr">
        <is>
          <t>SIG-012</t>
        </is>
      </c>
      <c r="BL1" s="2" t="inlineStr">
        <is>
          <t>SIG-021</t>
        </is>
      </c>
      <c r="BM1" s="2" t="inlineStr">
        <is>
          <t>EHS-001</t>
        </is>
      </c>
      <c r="BN1" s="2" t="inlineStr">
        <is>
          <t>EHS-002</t>
        </is>
      </c>
      <c r="BO1" s="2" t="inlineStr">
        <is>
          <t>EHS-003</t>
        </is>
      </c>
      <c r="BP1" s="2" t="inlineStr">
        <is>
          <t>EHS-004</t>
        </is>
      </c>
      <c r="BQ1" s="2" t="inlineStr">
        <is>
          <t>EHS-005</t>
        </is>
      </c>
      <c r="BR1" s="2" t="inlineStr">
        <is>
          <t>EHS-006</t>
        </is>
      </c>
      <c r="BS1" s="2" t="inlineStr">
        <is>
          <t>EHS-007</t>
        </is>
      </c>
      <c r="BT1" s="2" t="inlineStr">
        <is>
          <t>EHS-009</t>
        </is>
      </c>
      <c r="BU1" s="2" t="inlineStr">
        <is>
          <t>REG-006</t>
        </is>
      </c>
    </row>
    <row r="2">
      <c r="A2" t="inlineStr">
        <is>
          <t>Group</t>
        </is>
      </c>
      <c r="B2" t="inlineStr">
        <is>
          <t>2026-04</t>
        </is>
      </c>
      <c r="C2">
        <f>SUMIFS('Entity'!$D$2:$D$13,'Entity'!$A$2:$A$13,$A2,'Entity'!$C$2:$C$13,$B2)</f>
        <v/>
      </c>
      <c r="D2">
        <f>SUMIFS('Entity'!$E$2:$E$13,'Entity'!$A$2:$A$13,$A2,'Entity'!$C$2:$C$13,$B2)</f>
        <v/>
      </c>
      <c r="E2">
        <f>SUMIFS('Entity'!$F$2:$F$13,'Entity'!$A$2:$A$13,$A2,'Entity'!$C$2:$C$13,$B2)</f>
        <v/>
      </c>
      <c r="F2">
        <f>SUMIFS('Entity'!$G$2:$G$13,'Entity'!$A$2:$A$13,$A2,'Entity'!$C$2:$C$13,$B2)</f>
        <v/>
      </c>
      <c r="G2">
        <f>SUMIFS('Entity'!$H$2:$H$13,'Entity'!$A$2:$A$13,$A2,'Entity'!$C$2:$C$13,$B2)</f>
        <v/>
      </c>
      <c r="H2">
        <f>SUMIFS('Entity'!$I$2:$I$13,'Entity'!$A$2:$A$13,$A2,'Entity'!$C$2:$C$13,$B2)</f>
        <v/>
      </c>
      <c r="I2">
        <f>SUMIFS('Entity'!$J$2:$J$13,'Entity'!$A$2:$A$13,$A2,'Entity'!$C$2:$C$13,$B2)</f>
        <v/>
      </c>
      <c r="J2">
        <f>SUMIFS('Entity'!$K$2:$K$13,'Entity'!$A$2:$A$13,$A2,'Entity'!$C$2:$C$13,$B2)</f>
        <v/>
      </c>
      <c r="K2">
        <f>SUMIFS('Entity'!$L$2:$L$13,'Entity'!$A$2:$A$13,$A2,'Entity'!$C$2:$C$13,$B2)</f>
        <v/>
      </c>
      <c r="L2">
        <f>SUMIFS('Entity'!$M$2:$M$13,'Entity'!$A$2:$A$13,$A2,'Entity'!$C$2:$C$13,$B2)</f>
        <v/>
      </c>
      <c r="M2">
        <f>SUMIFS('Entity'!$N$2:$N$13,'Entity'!$A$2:$A$13,$A2,'Entity'!$C$2:$C$13,$B2)</f>
        <v/>
      </c>
      <c r="N2">
        <f>SUMIFS('Entity'!$O$2:$O$13,'Entity'!$A$2:$A$13,$A2,'Entity'!$C$2:$C$13,$B2)</f>
        <v/>
      </c>
      <c r="O2">
        <f>SUMIFS('Entity'!$P$2:$P$13,'Entity'!$A$2:$A$13,$A2,'Entity'!$C$2:$C$13,$B2)</f>
        <v/>
      </c>
      <c r="P2">
        <f>SUMIFS('Entity'!$Q$2:$Q$13,'Entity'!$A$2:$A$13,$A2,'Entity'!$C$2:$C$13,$B2)</f>
        <v/>
      </c>
      <c r="Q2">
        <f>SUMIFS('Entity'!$R$2:$R$13,'Entity'!$A$2:$A$13,$A2,'Entity'!$C$2:$C$13,$B2)</f>
        <v/>
      </c>
      <c r="R2">
        <f>SUMIFS('Entity'!$S$2:$S$13,'Entity'!$A$2:$A$13,$A2,'Entity'!$C$2:$C$13,$B2)</f>
        <v/>
      </c>
      <c r="S2">
        <f>SUMIFS('Entity'!$T$2:$T$13,'Entity'!$A$2:$A$13,$A2,'Entity'!$C$2:$C$13,$B2)</f>
        <v/>
      </c>
      <c r="T2">
        <f>SUMIFS('Entity'!$U$2:$U$13,'Entity'!$A$2:$A$13,$A2,'Entity'!$C$2:$C$13,$B2)</f>
        <v/>
      </c>
      <c r="U2">
        <f>SUMIFS('Entity'!$V$2:$V$13,'Entity'!$A$2:$A$13,$A2,'Entity'!$C$2:$C$13,$B2)</f>
        <v/>
      </c>
      <c r="V2">
        <f>SUMIFS('Entity'!$W$2:$W$13,'Entity'!$A$2:$A$13,$A2,'Entity'!$C$2:$C$13,$B2)</f>
        <v/>
      </c>
      <c r="W2">
        <f>SUMIFS('Entity'!$X$2:$X$13,'Entity'!$A$2:$A$13,$A2,'Entity'!$C$2:$C$13,$B2)</f>
        <v/>
      </c>
      <c r="X2">
        <f>SUMIFS('Entity'!$Y$2:$Y$13,'Entity'!$A$2:$A$13,$A2,'Entity'!$C$2:$C$13,$B2)</f>
        <v/>
      </c>
      <c r="Y2">
        <f>SUMIFS('Entity'!$Z$2:$Z$13,'Entity'!$A$2:$A$13,$A2,'Entity'!$C$2:$C$13,$B2)</f>
        <v/>
      </c>
      <c r="Z2">
        <f>SUMIFS('Entity'!$AA$2:$AA$13,'Entity'!$A$2:$A$13,$A2,'Entity'!$C$2:$C$13,$B2)</f>
        <v/>
      </c>
      <c r="AA2">
        <f>SUMIFS('Entity'!$AB$2:$AB$13,'Entity'!$A$2:$A$13,$A2,'Entity'!$C$2:$C$13,$B2)</f>
        <v/>
      </c>
      <c r="AB2">
        <f>SUMIFS('Entity'!$AC$2:$AC$13,'Entity'!$A$2:$A$13,$A2,'Entity'!$C$2:$C$13,$B2)</f>
        <v/>
      </c>
      <c r="AC2">
        <f>SUMIFS('Entity'!$AD$2:$AD$13,'Entity'!$A$2:$A$13,$A2,'Entity'!$C$2:$C$13,$B2)</f>
        <v/>
      </c>
      <c r="AD2">
        <f>SUMIFS('Entity'!$AE$2:$AE$13,'Entity'!$A$2:$A$13,$A2,'Entity'!$C$2:$C$13,$B2)</f>
        <v/>
      </c>
      <c r="AE2">
        <f>SUMIFS('Entity'!$AF$2:$AF$13,'Entity'!$A$2:$A$13,$A2,'Entity'!$C$2:$C$13,$B2)</f>
        <v/>
      </c>
      <c r="AF2">
        <f>SUMIFS('Entity'!$AG$2:$AG$13,'Entity'!$A$2:$A$13,$A2,'Entity'!$C$2:$C$13,$B2)</f>
        <v/>
      </c>
      <c r="AG2">
        <f>SUMIFS('Entity'!$AH$2:$AH$13,'Entity'!$A$2:$A$13,$A2,'Entity'!$C$2:$C$13,$B2)</f>
        <v/>
      </c>
      <c r="AH2">
        <f>SUMIFS('Entity'!$AI$2:$AI$13,'Entity'!$A$2:$A$13,$A2,'Entity'!$C$2:$C$13,$B2)</f>
        <v/>
      </c>
      <c r="AI2">
        <f>SUMIFS('Entity'!$AJ$2:$AJ$13,'Entity'!$A$2:$A$13,$A2,'Entity'!$C$2:$C$13,$B2)</f>
        <v/>
      </c>
      <c r="AJ2">
        <f>SUMIFS('Entity'!$AK$2:$AK$13,'Entity'!$A$2:$A$13,$A2,'Entity'!$C$2:$C$13,$B2)</f>
        <v/>
      </c>
      <c r="AK2">
        <f>SUMIFS('Entity'!$AL$2:$AL$13,'Entity'!$A$2:$A$13,$A2,'Entity'!$C$2:$C$13,$B2)</f>
        <v/>
      </c>
      <c r="AL2">
        <f>SUMIFS('Entity'!$AM$2:$AM$13,'Entity'!$A$2:$A$13,$A2,'Entity'!$C$2:$C$13,$B2)</f>
        <v/>
      </c>
      <c r="AM2">
        <f>SUMIFS('Entity'!$AN$2:$AN$13,'Entity'!$A$2:$A$13,$A2,'Entity'!$C$2:$C$13,$B2)</f>
        <v/>
      </c>
      <c r="AN2">
        <f>SUMIFS('Entity'!$AO$2:$AO$13,'Entity'!$A$2:$A$13,$A2,'Entity'!$C$2:$C$13,$B2)</f>
        <v/>
      </c>
      <c r="AO2">
        <f>SUMIFS('Entity'!$AP$2:$AP$13,'Entity'!$A$2:$A$13,$A2,'Entity'!$C$2:$C$13,$B2)</f>
        <v/>
      </c>
      <c r="AP2">
        <f>MINIFS('Entity'!$AQ$2:$AQ$13,'Entity'!$A$2:$A$13,$A2,'Entity'!$C$2:$C$13,$B2)</f>
        <v/>
      </c>
      <c r="AQ2" s="3">
        <f>IFERROR(100*K2/I2,0)</f>
        <v/>
      </c>
      <c r="AR2" s="3">
        <f>IFERROR(100*K2/H2,0)</f>
        <v/>
      </c>
      <c r="AS2" s="3">
        <f>IFERROR(100*E2/C2,0)</f>
        <v/>
      </c>
      <c r="AT2" s="3">
        <f>IFERROR(100*K2/G2,0)</f>
        <v/>
      </c>
      <c r="AU2" s="3">
        <f>IFERROR(100*N2/M2,0)</f>
        <v/>
      </c>
      <c r="AV2" s="3">
        <f>IFERROR(100*K2/L2,0)</f>
        <v/>
      </c>
      <c r="AW2" s="3">
        <f>IFERROR(E2/P2,0)</f>
        <v/>
      </c>
      <c r="AX2" s="3">
        <f>IFERROR(Q2/P2,0)</f>
        <v/>
      </c>
      <c r="AY2" s="3">
        <f>F2</f>
        <v/>
      </c>
      <c r="AZ2" s="3">
        <f>O2</f>
        <v/>
      </c>
      <c r="BA2" s="3">
        <f>IFERROR(100*S2/R2,0)</f>
        <v/>
      </c>
      <c r="BB2" s="3">
        <f>IFERROR(1000*(T2+V2)/K2,0)</f>
        <v/>
      </c>
      <c r="BC2" s="3">
        <f>T2</f>
        <v/>
      </c>
      <c r="BD2" s="3">
        <f>U2</f>
        <v/>
      </c>
      <c r="BE2" s="3">
        <f>W2</f>
        <v/>
      </c>
      <c r="BF2" s="3">
        <f>X2</f>
        <v/>
      </c>
      <c r="BG2" s="3">
        <f>IFERROR(Y2/K2,0)</f>
        <v/>
      </c>
      <c r="BH2" s="3">
        <f>Z2</f>
        <v/>
      </c>
      <c r="BI2" s="3">
        <f>AA2</f>
        <v/>
      </c>
      <c r="BJ2" s="3">
        <f>AM2</f>
        <v/>
      </c>
      <c r="BK2" s="3">
        <f>IFERROR(100*AO2/AN2,0)</f>
        <v/>
      </c>
      <c r="BL2" s="3">
        <f>AH2</f>
        <v/>
      </c>
      <c r="BM2" s="3">
        <f>IFERROR(200000*AC2/AB2,0)</f>
        <v/>
      </c>
      <c r="BN2" s="3">
        <f>AD2</f>
        <v/>
      </c>
      <c r="BO2" s="3">
        <f>AE2</f>
        <v/>
      </c>
      <c r="BP2" s="3">
        <f>AF2</f>
        <v/>
      </c>
      <c r="BQ2" s="3">
        <f>AG2</f>
        <v/>
      </c>
      <c r="BR2" s="3">
        <f>AI2</f>
        <v/>
      </c>
      <c r="BS2" s="3">
        <f>AJ2</f>
        <v/>
      </c>
      <c r="BT2" s="3">
        <f>IF(AK2=0,100,100*AL2/AK2)</f>
        <v/>
      </c>
      <c r="BU2" s="3">
        <f>AP2</f>
        <v/>
      </c>
    </row>
    <row r="3">
      <c r="A3" t="inlineStr">
        <is>
          <t>Group</t>
        </is>
      </c>
      <c r="B3" t="inlineStr">
        <is>
          <t>2026-05</t>
        </is>
      </c>
      <c r="C3">
        <f>SUMIFS('Entity'!$D$2:$D$13,'Entity'!$A$2:$A$13,$A3,'Entity'!$C$2:$C$13,$B3)</f>
        <v/>
      </c>
      <c r="D3">
        <f>SUMIFS('Entity'!$E$2:$E$13,'Entity'!$A$2:$A$13,$A3,'Entity'!$C$2:$C$13,$B3)</f>
        <v/>
      </c>
      <c r="E3">
        <f>SUMIFS('Entity'!$F$2:$F$13,'Entity'!$A$2:$A$13,$A3,'Entity'!$C$2:$C$13,$B3)</f>
        <v/>
      </c>
      <c r="F3">
        <f>SUMIFS('Entity'!$G$2:$G$13,'Entity'!$A$2:$A$13,$A3,'Entity'!$C$2:$C$13,$B3)</f>
        <v/>
      </c>
      <c r="G3">
        <f>SUMIFS('Entity'!$H$2:$H$13,'Entity'!$A$2:$A$13,$A3,'Entity'!$C$2:$C$13,$B3)</f>
        <v/>
      </c>
      <c r="H3">
        <f>SUMIFS('Entity'!$I$2:$I$13,'Entity'!$A$2:$A$13,$A3,'Entity'!$C$2:$C$13,$B3)</f>
        <v/>
      </c>
      <c r="I3">
        <f>SUMIFS('Entity'!$J$2:$J$13,'Entity'!$A$2:$A$13,$A3,'Entity'!$C$2:$C$13,$B3)</f>
        <v/>
      </c>
      <c r="J3">
        <f>SUMIFS('Entity'!$K$2:$K$13,'Entity'!$A$2:$A$13,$A3,'Entity'!$C$2:$C$13,$B3)</f>
        <v/>
      </c>
      <c r="K3">
        <f>SUMIFS('Entity'!$L$2:$L$13,'Entity'!$A$2:$A$13,$A3,'Entity'!$C$2:$C$13,$B3)</f>
        <v/>
      </c>
      <c r="L3">
        <f>SUMIFS('Entity'!$M$2:$M$13,'Entity'!$A$2:$A$13,$A3,'Entity'!$C$2:$C$13,$B3)</f>
        <v/>
      </c>
      <c r="M3">
        <f>SUMIFS('Entity'!$N$2:$N$13,'Entity'!$A$2:$A$13,$A3,'Entity'!$C$2:$C$13,$B3)</f>
        <v/>
      </c>
      <c r="N3">
        <f>SUMIFS('Entity'!$O$2:$O$13,'Entity'!$A$2:$A$13,$A3,'Entity'!$C$2:$C$13,$B3)</f>
        <v/>
      </c>
      <c r="O3">
        <f>SUMIFS('Entity'!$P$2:$P$13,'Entity'!$A$2:$A$13,$A3,'Entity'!$C$2:$C$13,$B3)</f>
        <v/>
      </c>
      <c r="P3">
        <f>SUMIFS('Entity'!$Q$2:$Q$13,'Entity'!$A$2:$A$13,$A3,'Entity'!$C$2:$C$13,$B3)</f>
        <v/>
      </c>
      <c r="Q3">
        <f>SUMIFS('Entity'!$R$2:$R$13,'Entity'!$A$2:$A$13,$A3,'Entity'!$C$2:$C$13,$B3)</f>
        <v/>
      </c>
      <c r="R3">
        <f>SUMIFS('Entity'!$S$2:$S$13,'Entity'!$A$2:$A$13,$A3,'Entity'!$C$2:$C$13,$B3)</f>
        <v/>
      </c>
      <c r="S3">
        <f>SUMIFS('Entity'!$T$2:$T$13,'Entity'!$A$2:$A$13,$A3,'Entity'!$C$2:$C$13,$B3)</f>
        <v/>
      </c>
      <c r="T3">
        <f>SUMIFS('Entity'!$U$2:$U$13,'Entity'!$A$2:$A$13,$A3,'Entity'!$C$2:$C$13,$B3)</f>
        <v/>
      </c>
      <c r="U3">
        <f>SUMIFS('Entity'!$V$2:$V$13,'Entity'!$A$2:$A$13,$A3,'Entity'!$C$2:$C$13,$B3)</f>
        <v/>
      </c>
      <c r="V3">
        <f>SUMIFS('Entity'!$W$2:$W$13,'Entity'!$A$2:$A$13,$A3,'Entity'!$C$2:$C$13,$B3)</f>
        <v/>
      </c>
      <c r="W3">
        <f>SUMIFS('Entity'!$X$2:$X$13,'Entity'!$A$2:$A$13,$A3,'Entity'!$C$2:$C$13,$B3)</f>
        <v/>
      </c>
      <c r="X3">
        <f>SUMIFS('Entity'!$Y$2:$Y$13,'Entity'!$A$2:$A$13,$A3,'Entity'!$C$2:$C$13,$B3)</f>
        <v/>
      </c>
      <c r="Y3">
        <f>SUMIFS('Entity'!$Z$2:$Z$13,'Entity'!$A$2:$A$13,$A3,'Entity'!$C$2:$C$13,$B3)</f>
        <v/>
      </c>
      <c r="Z3">
        <f>SUMIFS('Entity'!$AA$2:$AA$13,'Entity'!$A$2:$A$13,$A3,'Entity'!$C$2:$C$13,$B3)</f>
        <v/>
      </c>
      <c r="AA3">
        <f>SUMIFS('Entity'!$AB$2:$AB$13,'Entity'!$A$2:$A$13,$A3,'Entity'!$C$2:$C$13,$B3)</f>
        <v/>
      </c>
      <c r="AB3">
        <f>SUMIFS('Entity'!$AC$2:$AC$13,'Entity'!$A$2:$A$13,$A3,'Entity'!$C$2:$C$13,$B3)</f>
        <v/>
      </c>
      <c r="AC3">
        <f>SUMIFS('Entity'!$AD$2:$AD$13,'Entity'!$A$2:$A$13,$A3,'Entity'!$C$2:$C$13,$B3)</f>
        <v/>
      </c>
      <c r="AD3">
        <f>SUMIFS('Entity'!$AE$2:$AE$13,'Entity'!$A$2:$A$13,$A3,'Entity'!$C$2:$C$13,$B3)</f>
        <v/>
      </c>
      <c r="AE3">
        <f>SUMIFS('Entity'!$AF$2:$AF$13,'Entity'!$A$2:$A$13,$A3,'Entity'!$C$2:$C$13,$B3)</f>
        <v/>
      </c>
      <c r="AF3">
        <f>SUMIFS('Entity'!$AG$2:$AG$13,'Entity'!$A$2:$A$13,$A3,'Entity'!$C$2:$C$13,$B3)</f>
        <v/>
      </c>
      <c r="AG3">
        <f>SUMIFS('Entity'!$AH$2:$AH$13,'Entity'!$A$2:$A$13,$A3,'Entity'!$C$2:$C$13,$B3)</f>
        <v/>
      </c>
      <c r="AH3">
        <f>SUMIFS('Entity'!$AI$2:$AI$13,'Entity'!$A$2:$A$13,$A3,'Entity'!$C$2:$C$13,$B3)</f>
        <v/>
      </c>
      <c r="AI3">
        <f>SUMIFS('Entity'!$AJ$2:$AJ$13,'Entity'!$A$2:$A$13,$A3,'Entity'!$C$2:$C$13,$B3)</f>
        <v/>
      </c>
      <c r="AJ3">
        <f>SUMIFS('Entity'!$AK$2:$AK$13,'Entity'!$A$2:$A$13,$A3,'Entity'!$C$2:$C$13,$B3)</f>
        <v/>
      </c>
      <c r="AK3">
        <f>SUMIFS('Entity'!$AL$2:$AL$13,'Entity'!$A$2:$A$13,$A3,'Entity'!$C$2:$C$13,$B3)</f>
        <v/>
      </c>
      <c r="AL3">
        <f>SUMIFS('Entity'!$AM$2:$AM$13,'Entity'!$A$2:$A$13,$A3,'Entity'!$C$2:$C$13,$B3)</f>
        <v/>
      </c>
      <c r="AM3">
        <f>SUMIFS('Entity'!$AN$2:$AN$13,'Entity'!$A$2:$A$13,$A3,'Entity'!$C$2:$C$13,$B3)</f>
        <v/>
      </c>
      <c r="AN3">
        <f>SUMIFS('Entity'!$AO$2:$AO$13,'Entity'!$A$2:$A$13,$A3,'Entity'!$C$2:$C$13,$B3)</f>
        <v/>
      </c>
      <c r="AO3">
        <f>SUMIFS('Entity'!$AP$2:$AP$13,'Entity'!$A$2:$A$13,$A3,'Entity'!$C$2:$C$13,$B3)</f>
        <v/>
      </c>
      <c r="AP3">
        <f>MINIFS('Entity'!$AQ$2:$AQ$13,'Entity'!$A$2:$A$13,$A3,'Entity'!$C$2:$C$13,$B3)</f>
        <v/>
      </c>
      <c r="AQ3" s="3">
        <f>IFERROR(100*K3/I3,0)</f>
        <v/>
      </c>
      <c r="AR3" s="3">
        <f>IFERROR(100*K3/H3,0)</f>
        <v/>
      </c>
      <c r="AS3" s="3">
        <f>IFERROR(100*E3/C3,0)</f>
        <v/>
      </c>
      <c r="AT3" s="3">
        <f>IFERROR(100*K3/G3,0)</f>
        <v/>
      </c>
      <c r="AU3" s="3">
        <f>IFERROR(100*N3/M3,0)</f>
        <v/>
      </c>
      <c r="AV3" s="3">
        <f>IFERROR(100*K3/L3,0)</f>
        <v/>
      </c>
      <c r="AW3" s="3">
        <f>IFERROR(E3/P3,0)</f>
        <v/>
      </c>
      <c r="AX3" s="3">
        <f>IFERROR(Q3/P3,0)</f>
        <v/>
      </c>
      <c r="AY3" s="3">
        <f>F3</f>
        <v/>
      </c>
      <c r="AZ3" s="3">
        <f>O3</f>
        <v/>
      </c>
      <c r="BA3" s="3">
        <f>IFERROR(100*S3/R3,0)</f>
        <v/>
      </c>
      <c r="BB3" s="3">
        <f>IFERROR(1000*(T3+V3)/K3,0)</f>
        <v/>
      </c>
      <c r="BC3" s="3">
        <f>T3</f>
        <v/>
      </c>
      <c r="BD3" s="3">
        <f>U3</f>
        <v/>
      </c>
      <c r="BE3" s="3">
        <f>W3</f>
        <v/>
      </c>
      <c r="BF3" s="3">
        <f>X3</f>
        <v/>
      </c>
      <c r="BG3" s="3">
        <f>IFERROR(Y3/K3,0)</f>
        <v/>
      </c>
      <c r="BH3" s="3">
        <f>Z3</f>
        <v/>
      </c>
      <c r="BI3" s="3">
        <f>AA3</f>
        <v/>
      </c>
      <c r="BJ3" s="3">
        <f>AM3</f>
        <v/>
      </c>
      <c r="BK3" s="3">
        <f>IFERROR(100*AO3/AN3,0)</f>
        <v/>
      </c>
      <c r="BL3" s="3">
        <f>AH3</f>
        <v/>
      </c>
      <c r="BM3" s="3">
        <f>IFERROR(200000*AC3/AB3,0)</f>
        <v/>
      </c>
      <c r="BN3" s="3">
        <f>AD3</f>
        <v/>
      </c>
      <c r="BO3" s="3">
        <f>AE3</f>
        <v/>
      </c>
      <c r="BP3" s="3">
        <f>AF3</f>
        <v/>
      </c>
      <c r="BQ3" s="3">
        <f>AG3</f>
        <v/>
      </c>
      <c r="BR3" s="3">
        <f>AI3</f>
        <v/>
      </c>
      <c r="BS3" s="3">
        <f>AJ3</f>
        <v/>
      </c>
      <c r="BT3" s="3">
        <f>IF(AK3=0,100,100*AL3/AK3)</f>
        <v/>
      </c>
      <c r="BU3" s="3">
        <f>AP3</f>
        <v/>
      </c>
    </row>
    <row r="4">
      <c r="A4" t="inlineStr">
        <is>
          <t>Group</t>
        </is>
      </c>
      <c r="B4" t="inlineStr">
        <is>
          <t>2026-06</t>
        </is>
      </c>
      <c r="C4">
        <f>SUMIFS('Entity'!$D$2:$D$13,'Entity'!$A$2:$A$13,$A4,'Entity'!$C$2:$C$13,$B4)</f>
        <v/>
      </c>
      <c r="D4">
        <f>SUMIFS('Entity'!$E$2:$E$13,'Entity'!$A$2:$A$13,$A4,'Entity'!$C$2:$C$13,$B4)</f>
        <v/>
      </c>
      <c r="E4">
        <f>SUMIFS('Entity'!$F$2:$F$13,'Entity'!$A$2:$A$13,$A4,'Entity'!$C$2:$C$13,$B4)</f>
        <v/>
      </c>
      <c r="F4">
        <f>SUMIFS('Entity'!$G$2:$G$13,'Entity'!$A$2:$A$13,$A4,'Entity'!$C$2:$C$13,$B4)</f>
        <v/>
      </c>
      <c r="G4">
        <f>SUMIFS('Entity'!$H$2:$H$13,'Entity'!$A$2:$A$13,$A4,'Entity'!$C$2:$C$13,$B4)</f>
        <v/>
      </c>
      <c r="H4">
        <f>SUMIFS('Entity'!$I$2:$I$13,'Entity'!$A$2:$A$13,$A4,'Entity'!$C$2:$C$13,$B4)</f>
        <v/>
      </c>
      <c r="I4">
        <f>SUMIFS('Entity'!$J$2:$J$13,'Entity'!$A$2:$A$13,$A4,'Entity'!$C$2:$C$13,$B4)</f>
        <v/>
      </c>
      <c r="J4">
        <f>SUMIFS('Entity'!$K$2:$K$13,'Entity'!$A$2:$A$13,$A4,'Entity'!$C$2:$C$13,$B4)</f>
        <v/>
      </c>
      <c r="K4">
        <f>SUMIFS('Entity'!$L$2:$L$13,'Entity'!$A$2:$A$13,$A4,'Entity'!$C$2:$C$13,$B4)</f>
        <v/>
      </c>
      <c r="L4">
        <f>SUMIFS('Entity'!$M$2:$M$13,'Entity'!$A$2:$A$13,$A4,'Entity'!$C$2:$C$13,$B4)</f>
        <v/>
      </c>
      <c r="M4">
        <f>SUMIFS('Entity'!$N$2:$N$13,'Entity'!$A$2:$A$13,$A4,'Entity'!$C$2:$C$13,$B4)</f>
        <v/>
      </c>
      <c r="N4">
        <f>SUMIFS('Entity'!$O$2:$O$13,'Entity'!$A$2:$A$13,$A4,'Entity'!$C$2:$C$13,$B4)</f>
        <v/>
      </c>
      <c r="O4">
        <f>SUMIFS('Entity'!$P$2:$P$13,'Entity'!$A$2:$A$13,$A4,'Entity'!$C$2:$C$13,$B4)</f>
        <v/>
      </c>
      <c r="P4">
        <f>SUMIFS('Entity'!$Q$2:$Q$13,'Entity'!$A$2:$A$13,$A4,'Entity'!$C$2:$C$13,$B4)</f>
        <v/>
      </c>
      <c r="Q4">
        <f>SUMIFS('Entity'!$R$2:$R$13,'Entity'!$A$2:$A$13,$A4,'Entity'!$C$2:$C$13,$B4)</f>
        <v/>
      </c>
      <c r="R4">
        <f>SUMIFS('Entity'!$S$2:$S$13,'Entity'!$A$2:$A$13,$A4,'Entity'!$C$2:$C$13,$B4)</f>
        <v/>
      </c>
      <c r="S4">
        <f>SUMIFS('Entity'!$T$2:$T$13,'Entity'!$A$2:$A$13,$A4,'Entity'!$C$2:$C$13,$B4)</f>
        <v/>
      </c>
      <c r="T4">
        <f>SUMIFS('Entity'!$U$2:$U$13,'Entity'!$A$2:$A$13,$A4,'Entity'!$C$2:$C$13,$B4)</f>
        <v/>
      </c>
      <c r="U4">
        <f>SUMIFS('Entity'!$V$2:$V$13,'Entity'!$A$2:$A$13,$A4,'Entity'!$C$2:$C$13,$B4)</f>
        <v/>
      </c>
      <c r="V4">
        <f>SUMIFS('Entity'!$W$2:$W$13,'Entity'!$A$2:$A$13,$A4,'Entity'!$C$2:$C$13,$B4)</f>
        <v/>
      </c>
      <c r="W4">
        <f>SUMIFS('Entity'!$X$2:$X$13,'Entity'!$A$2:$A$13,$A4,'Entity'!$C$2:$C$13,$B4)</f>
        <v/>
      </c>
      <c r="X4">
        <f>SUMIFS('Entity'!$Y$2:$Y$13,'Entity'!$A$2:$A$13,$A4,'Entity'!$C$2:$C$13,$B4)</f>
        <v/>
      </c>
      <c r="Y4">
        <f>SUMIFS('Entity'!$Z$2:$Z$13,'Entity'!$A$2:$A$13,$A4,'Entity'!$C$2:$C$13,$B4)</f>
        <v/>
      </c>
      <c r="Z4">
        <f>SUMIFS('Entity'!$AA$2:$AA$13,'Entity'!$A$2:$A$13,$A4,'Entity'!$C$2:$C$13,$B4)</f>
        <v/>
      </c>
      <c r="AA4">
        <f>SUMIFS('Entity'!$AB$2:$AB$13,'Entity'!$A$2:$A$13,$A4,'Entity'!$C$2:$C$13,$B4)</f>
        <v/>
      </c>
      <c r="AB4">
        <f>SUMIFS('Entity'!$AC$2:$AC$13,'Entity'!$A$2:$A$13,$A4,'Entity'!$C$2:$C$13,$B4)</f>
        <v/>
      </c>
      <c r="AC4">
        <f>SUMIFS('Entity'!$AD$2:$AD$13,'Entity'!$A$2:$A$13,$A4,'Entity'!$C$2:$C$13,$B4)</f>
        <v/>
      </c>
      <c r="AD4">
        <f>SUMIFS('Entity'!$AE$2:$AE$13,'Entity'!$A$2:$A$13,$A4,'Entity'!$C$2:$C$13,$B4)</f>
        <v/>
      </c>
      <c r="AE4">
        <f>SUMIFS('Entity'!$AF$2:$AF$13,'Entity'!$A$2:$A$13,$A4,'Entity'!$C$2:$C$13,$B4)</f>
        <v/>
      </c>
      <c r="AF4">
        <f>SUMIFS('Entity'!$AG$2:$AG$13,'Entity'!$A$2:$A$13,$A4,'Entity'!$C$2:$C$13,$B4)</f>
        <v/>
      </c>
      <c r="AG4">
        <f>SUMIFS('Entity'!$AH$2:$AH$13,'Entity'!$A$2:$A$13,$A4,'Entity'!$C$2:$C$13,$B4)</f>
        <v/>
      </c>
      <c r="AH4">
        <f>SUMIFS('Entity'!$AI$2:$AI$13,'Entity'!$A$2:$A$13,$A4,'Entity'!$C$2:$C$13,$B4)</f>
        <v/>
      </c>
      <c r="AI4">
        <f>SUMIFS('Entity'!$AJ$2:$AJ$13,'Entity'!$A$2:$A$13,$A4,'Entity'!$C$2:$C$13,$B4)</f>
        <v/>
      </c>
      <c r="AJ4">
        <f>SUMIFS('Entity'!$AK$2:$AK$13,'Entity'!$A$2:$A$13,$A4,'Entity'!$C$2:$C$13,$B4)</f>
        <v/>
      </c>
      <c r="AK4">
        <f>SUMIFS('Entity'!$AL$2:$AL$13,'Entity'!$A$2:$A$13,$A4,'Entity'!$C$2:$C$13,$B4)</f>
        <v/>
      </c>
      <c r="AL4">
        <f>SUMIFS('Entity'!$AM$2:$AM$13,'Entity'!$A$2:$A$13,$A4,'Entity'!$C$2:$C$13,$B4)</f>
        <v/>
      </c>
      <c r="AM4">
        <f>SUMIFS('Entity'!$AN$2:$AN$13,'Entity'!$A$2:$A$13,$A4,'Entity'!$C$2:$C$13,$B4)</f>
        <v/>
      </c>
      <c r="AN4">
        <f>SUMIFS('Entity'!$AO$2:$AO$13,'Entity'!$A$2:$A$13,$A4,'Entity'!$C$2:$C$13,$B4)</f>
        <v/>
      </c>
      <c r="AO4">
        <f>SUMIFS('Entity'!$AP$2:$AP$13,'Entity'!$A$2:$A$13,$A4,'Entity'!$C$2:$C$13,$B4)</f>
        <v/>
      </c>
      <c r="AP4">
        <f>MINIFS('Entity'!$AQ$2:$AQ$13,'Entity'!$A$2:$A$13,$A4,'Entity'!$C$2:$C$13,$B4)</f>
        <v/>
      </c>
      <c r="AQ4" s="3">
        <f>IFERROR(100*K4/I4,0)</f>
        <v/>
      </c>
      <c r="AR4" s="3">
        <f>IFERROR(100*K4/H4,0)</f>
        <v/>
      </c>
      <c r="AS4" s="3">
        <f>IFERROR(100*E4/C4,0)</f>
        <v/>
      </c>
      <c r="AT4" s="3">
        <f>IFERROR(100*K4/G4,0)</f>
        <v/>
      </c>
      <c r="AU4" s="3">
        <f>IFERROR(100*N4/M4,0)</f>
        <v/>
      </c>
      <c r="AV4" s="3">
        <f>IFERROR(100*K4/L4,0)</f>
        <v/>
      </c>
      <c r="AW4" s="3">
        <f>IFERROR(E4/P4,0)</f>
        <v/>
      </c>
      <c r="AX4" s="3">
        <f>IFERROR(Q4/P4,0)</f>
        <v/>
      </c>
      <c r="AY4" s="3">
        <f>F4</f>
        <v/>
      </c>
      <c r="AZ4" s="3">
        <f>O4</f>
        <v/>
      </c>
      <c r="BA4" s="3">
        <f>IFERROR(100*S4/R4,0)</f>
        <v/>
      </c>
      <c r="BB4" s="3">
        <f>IFERROR(1000*(T4+V4)/K4,0)</f>
        <v/>
      </c>
      <c r="BC4" s="3">
        <f>T4</f>
        <v/>
      </c>
      <c r="BD4" s="3">
        <f>U4</f>
        <v/>
      </c>
      <c r="BE4" s="3">
        <f>W4</f>
        <v/>
      </c>
      <c r="BF4" s="3">
        <f>X4</f>
        <v/>
      </c>
      <c r="BG4" s="3">
        <f>IFERROR(Y4/K4,0)</f>
        <v/>
      </c>
      <c r="BH4" s="3">
        <f>Z4</f>
        <v/>
      </c>
      <c r="BI4" s="3">
        <f>AA4</f>
        <v/>
      </c>
      <c r="BJ4" s="3">
        <f>AM4</f>
        <v/>
      </c>
      <c r="BK4" s="3">
        <f>IFERROR(100*AO4/AN4,0)</f>
        <v/>
      </c>
      <c r="BL4" s="3">
        <f>AH4</f>
        <v/>
      </c>
      <c r="BM4" s="3">
        <f>IFERROR(200000*AC4/AB4,0)</f>
        <v/>
      </c>
      <c r="BN4" s="3">
        <f>AD4</f>
        <v/>
      </c>
      <c r="BO4" s="3">
        <f>AE4</f>
        <v/>
      </c>
      <c r="BP4" s="3">
        <f>AF4</f>
        <v/>
      </c>
      <c r="BQ4" s="3">
        <f>AG4</f>
        <v/>
      </c>
      <c r="BR4" s="3">
        <f>AI4</f>
        <v/>
      </c>
      <c r="BS4" s="3">
        <f>AJ4</f>
        <v/>
      </c>
      <c r="BT4" s="3">
        <f>IF(AK4=0,100,100*AL4/AK4)</f>
        <v/>
      </c>
      <c r="BU4" s="3">
        <f>AP4</f>
        <v/>
      </c>
    </row>
    <row r="5">
      <c r="A5" t="inlineStr">
        <is>
          <t>Group</t>
        </is>
      </c>
      <c r="B5" t="inlineStr">
        <is>
          <t>2026-07</t>
        </is>
      </c>
      <c r="C5">
        <f>SUMIFS('Entity'!$D$2:$D$13,'Entity'!$A$2:$A$13,$A5,'Entity'!$C$2:$C$13,$B5)</f>
        <v/>
      </c>
      <c r="D5">
        <f>SUMIFS('Entity'!$E$2:$E$13,'Entity'!$A$2:$A$13,$A5,'Entity'!$C$2:$C$13,$B5)</f>
        <v/>
      </c>
      <c r="E5">
        <f>SUMIFS('Entity'!$F$2:$F$13,'Entity'!$A$2:$A$13,$A5,'Entity'!$C$2:$C$13,$B5)</f>
        <v/>
      </c>
      <c r="F5">
        <f>SUMIFS('Entity'!$G$2:$G$13,'Entity'!$A$2:$A$13,$A5,'Entity'!$C$2:$C$13,$B5)</f>
        <v/>
      </c>
      <c r="G5">
        <f>SUMIFS('Entity'!$H$2:$H$13,'Entity'!$A$2:$A$13,$A5,'Entity'!$C$2:$C$13,$B5)</f>
        <v/>
      </c>
      <c r="H5">
        <f>SUMIFS('Entity'!$I$2:$I$13,'Entity'!$A$2:$A$13,$A5,'Entity'!$C$2:$C$13,$B5)</f>
        <v/>
      </c>
      <c r="I5">
        <f>SUMIFS('Entity'!$J$2:$J$13,'Entity'!$A$2:$A$13,$A5,'Entity'!$C$2:$C$13,$B5)</f>
        <v/>
      </c>
      <c r="J5">
        <f>SUMIFS('Entity'!$K$2:$K$13,'Entity'!$A$2:$A$13,$A5,'Entity'!$C$2:$C$13,$B5)</f>
        <v/>
      </c>
      <c r="K5">
        <f>SUMIFS('Entity'!$L$2:$L$13,'Entity'!$A$2:$A$13,$A5,'Entity'!$C$2:$C$13,$B5)</f>
        <v/>
      </c>
      <c r="L5">
        <f>SUMIFS('Entity'!$M$2:$M$13,'Entity'!$A$2:$A$13,$A5,'Entity'!$C$2:$C$13,$B5)</f>
        <v/>
      </c>
      <c r="M5">
        <f>SUMIFS('Entity'!$N$2:$N$13,'Entity'!$A$2:$A$13,$A5,'Entity'!$C$2:$C$13,$B5)</f>
        <v/>
      </c>
      <c r="N5">
        <f>SUMIFS('Entity'!$O$2:$O$13,'Entity'!$A$2:$A$13,$A5,'Entity'!$C$2:$C$13,$B5)</f>
        <v/>
      </c>
      <c r="O5">
        <f>SUMIFS('Entity'!$P$2:$P$13,'Entity'!$A$2:$A$13,$A5,'Entity'!$C$2:$C$13,$B5)</f>
        <v/>
      </c>
      <c r="P5">
        <f>SUMIFS('Entity'!$Q$2:$Q$13,'Entity'!$A$2:$A$13,$A5,'Entity'!$C$2:$C$13,$B5)</f>
        <v/>
      </c>
      <c r="Q5">
        <f>SUMIFS('Entity'!$R$2:$R$13,'Entity'!$A$2:$A$13,$A5,'Entity'!$C$2:$C$13,$B5)</f>
        <v/>
      </c>
      <c r="R5">
        <f>SUMIFS('Entity'!$S$2:$S$13,'Entity'!$A$2:$A$13,$A5,'Entity'!$C$2:$C$13,$B5)</f>
        <v/>
      </c>
      <c r="S5">
        <f>SUMIFS('Entity'!$T$2:$T$13,'Entity'!$A$2:$A$13,$A5,'Entity'!$C$2:$C$13,$B5)</f>
        <v/>
      </c>
      <c r="T5">
        <f>SUMIFS('Entity'!$U$2:$U$13,'Entity'!$A$2:$A$13,$A5,'Entity'!$C$2:$C$13,$B5)</f>
        <v/>
      </c>
      <c r="U5">
        <f>SUMIFS('Entity'!$V$2:$V$13,'Entity'!$A$2:$A$13,$A5,'Entity'!$C$2:$C$13,$B5)</f>
        <v/>
      </c>
      <c r="V5">
        <f>SUMIFS('Entity'!$W$2:$W$13,'Entity'!$A$2:$A$13,$A5,'Entity'!$C$2:$C$13,$B5)</f>
        <v/>
      </c>
      <c r="W5">
        <f>SUMIFS('Entity'!$X$2:$X$13,'Entity'!$A$2:$A$13,$A5,'Entity'!$C$2:$C$13,$B5)</f>
        <v/>
      </c>
      <c r="X5">
        <f>SUMIFS('Entity'!$Y$2:$Y$13,'Entity'!$A$2:$A$13,$A5,'Entity'!$C$2:$C$13,$B5)</f>
        <v/>
      </c>
      <c r="Y5">
        <f>SUMIFS('Entity'!$Z$2:$Z$13,'Entity'!$A$2:$A$13,$A5,'Entity'!$C$2:$C$13,$B5)</f>
        <v/>
      </c>
      <c r="Z5">
        <f>SUMIFS('Entity'!$AA$2:$AA$13,'Entity'!$A$2:$A$13,$A5,'Entity'!$C$2:$C$13,$B5)</f>
        <v/>
      </c>
      <c r="AA5">
        <f>SUMIFS('Entity'!$AB$2:$AB$13,'Entity'!$A$2:$A$13,$A5,'Entity'!$C$2:$C$13,$B5)</f>
        <v/>
      </c>
      <c r="AB5">
        <f>SUMIFS('Entity'!$AC$2:$AC$13,'Entity'!$A$2:$A$13,$A5,'Entity'!$C$2:$C$13,$B5)</f>
        <v/>
      </c>
      <c r="AC5">
        <f>SUMIFS('Entity'!$AD$2:$AD$13,'Entity'!$A$2:$A$13,$A5,'Entity'!$C$2:$C$13,$B5)</f>
        <v/>
      </c>
      <c r="AD5">
        <f>SUMIFS('Entity'!$AE$2:$AE$13,'Entity'!$A$2:$A$13,$A5,'Entity'!$C$2:$C$13,$B5)</f>
        <v/>
      </c>
      <c r="AE5">
        <f>SUMIFS('Entity'!$AF$2:$AF$13,'Entity'!$A$2:$A$13,$A5,'Entity'!$C$2:$C$13,$B5)</f>
        <v/>
      </c>
      <c r="AF5">
        <f>SUMIFS('Entity'!$AG$2:$AG$13,'Entity'!$A$2:$A$13,$A5,'Entity'!$C$2:$C$13,$B5)</f>
        <v/>
      </c>
      <c r="AG5">
        <f>SUMIFS('Entity'!$AH$2:$AH$13,'Entity'!$A$2:$A$13,$A5,'Entity'!$C$2:$C$13,$B5)</f>
        <v/>
      </c>
      <c r="AH5">
        <f>SUMIFS('Entity'!$AI$2:$AI$13,'Entity'!$A$2:$A$13,$A5,'Entity'!$C$2:$C$13,$B5)</f>
        <v/>
      </c>
      <c r="AI5">
        <f>SUMIFS('Entity'!$AJ$2:$AJ$13,'Entity'!$A$2:$A$13,$A5,'Entity'!$C$2:$C$13,$B5)</f>
        <v/>
      </c>
      <c r="AJ5">
        <f>SUMIFS('Entity'!$AK$2:$AK$13,'Entity'!$A$2:$A$13,$A5,'Entity'!$C$2:$C$13,$B5)</f>
        <v/>
      </c>
      <c r="AK5">
        <f>SUMIFS('Entity'!$AL$2:$AL$13,'Entity'!$A$2:$A$13,$A5,'Entity'!$C$2:$C$13,$B5)</f>
        <v/>
      </c>
      <c r="AL5">
        <f>SUMIFS('Entity'!$AM$2:$AM$13,'Entity'!$A$2:$A$13,$A5,'Entity'!$C$2:$C$13,$B5)</f>
        <v/>
      </c>
      <c r="AM5">
        <f>SUMIFS('Entity'!$AN$2:$AN$13,'Entity'!$A$2:$A$13,$A5,'Entity'!$C$2:$C$13,$B5)</f>
        <v/>
      </c>
      <c r="AN5">
        <f>SUMIFS('Entity'!$AO$2:$AO$13,'Entity'!$A$2:$A$13,$A5,'Entity'!$C$2:$C$13,$B5)</f>
        <v/>
      </c>
      <c r="AO5">
        <f>SUMIFS('Entity'!$AP$2:$AP$13,'Entity'!$A$2:$A$13,$A5,'Entity'!$C$2:$C$13,$B5)</f>
        <v/>
      </c>
      <c r="AP5">
        <f>MINIFS('Entity'!$AQ$2:$AQ$13,'Entity'!$A$2:$A$13,$A5,'Entity'!$C$2:$C$13,$B5)</f>
        <v/>
      </c>
      <c r="AQ5" s="3">
        <f>IFERROR(100*K5/I5,0)</f>
        <v/>
      </c>
      <c r="AR5" s="3">
        <f>IFERROR(100*K5/H5,0)</f>
        <v/>
      </c>
      <c r="AS5" s="3">
        <f>IFERROR(100*E5/C5,0)</f>
        <v/>
      </c>
      <c r="AT5" s="3">
        <f>IFERROR(100*K5/G5,0)</f>
        <v/>
      </c>
      <c r="AU5" s="3">
        <f>IFERROR(100*N5/M5,0)</f>
        <v/>
      </c>
      <c r="AV5" s="3">
        <f>IFERROR(100*K5/L5,0)</f>
        <v/>
      </c>
      <c r="AW5" s="3">
        <f>IFERROR(E5/P5,0)</f>
        <v/>
      </c>
      <c r="AX5" s="3">
        <f>IFERROR(Q5/P5,0)</f>
        <v/>
      </c>
      <c r="AY5" s="3">
        <f>F5</f>
        <v/>
      </c>
      <c r="AZ5" s="3">
        <f>O5</f>
        <v/>
      </c>
      <c r="BA5" s="3">
        <f>IFERROR(100*S5/R5,0)</f>
        <v/>
      </c>
      <c r="BB5" s="3">
        <f>IFERROR(1000*(T5+V5)/K5,0)</f>
        <v/>
      </c>
      <c r="BC5" s="3">
        <f>T5</f>
        <v/>
      </c>
      <c r="BD5" s="3">
        <f>U5</f>
        <v/>
      </c>
      <c r="BE5" s="3">
        <f>W5</f>
        <v/>
      </c>
      <c r="BF5" s="3">
        <f>X5</f>
        <v/>
      </c>
      <c r="BG5" s="3">
        <f>IFERROR(Y5/K5,0)</f>
        <v/>
      </c>
      <c r="BH5" s="3">
        <f>Z5</f>
        <v/>
      </c>
      <c r="BI5" s="3">
        <f>AA5</f>
        <v/>
      </c>
      <c r="BJ5" s="3">
        <f>AM5</f>
        <v/>
      </c>
      <c r="BK5" s="3">
        <f>IFERROR(100*AO5/AN5,0)</f>
        <v/>
      </c>
      <c r="BL5" s="3">
        <f>AH5</f>
        <v/>
      </c>
      <c r="BM5" s="3">
        <f>IFERROR(200000*AC5/AB5,0)</f>
        <v/>
      </c>
      <c r="BN5" s="3">
        <f>AD5</f>
        <v/>
      </c>
      <c r="BO5" s="3">
        <f>AE5</f>
        <v/>
      </c>
      <c r="BP5" s="3">
        <f>AF5</f>
        <v/>
      </c>
      <c r="BQ5" s="3">
        <f>AG5</f>
        <v/>
      </c>
      <c r="BR5" s="3">
        <f>AI5</f>
        <v/>
      </c>
      <c r="BS5" s="3">
        <f>AJ5</f>
        <v/>
      </c>
      <c r="BT5" s="3">
        <f>IF(AK5=0,100,100*AL5/AK5)</f>
        <v/>
      </c>
      <c r="BU5" s="3">
        <f>AP5</f>
        <v/>
      </c>
    </row>
    <row r="6">
      <c r="A6" t="inlineStr">
        <is>
          <t>Group</t>
        </is>
      </c>
      <c r="B6" t="inlineStr">
        <is>
          <t>2026-08</t>
        </is>
      </c>
      <c r="C6">
        <f>SUMIFS('Entity'!$D$2:$D$13,'Entity'!$A$2:$A$13,$A6,'Entity'!$C$2:$C$13,$B6)</f>
        <v/>
      </c>
      <c r="D6">
        <f>SUMIFS('Entity'!$E$2:$E$13,'Entity'!$A$2:$A$13,$A6,'Entity'!$C$2:$C$13,$B6)</f>
        <v/>
      </c>
      <c r="E6">
        <f>SUMIFS('Entity'!$F$2:$F$13,'Entity'!$A$2:$A$13,$A6,'Entity'!$C$2:$C$13,$B6)</f>
        <v/>
      </c>
      <c r="F6">
        <f>SUMIFS('Entity'!$G$2:$G$13,'Entity'!$A$2:$A$13,$A6,'Entity'!$C$2:$C$13,$B6)</f>
        <v/>
      </c>
      <c r="G6">
        <f>SUMIFS('Entity'!$H$2:$H$13,'Entity'!$A$2:$A$13,$A6,'Entity'!$C$2:$C$13,$B6)</f>
        <v/>
      </c>
      <c r="H6">
        <f>SUMIFS('Entity'!$I$2:$I$13,'Entity'!$A$2:$A$13,$A6,'Entity'!$C$2:$C$13,$B6)</f>
        <v/>
      </c>
      <c r="I6">
        <f>SUMIFS('Entity'!$J$2:$J$13,'Entity'!$A$2:$A$13,$A6,'Entity'!$C$2:$C$13,$B6)</f>
        <v/>
      </c>
      <c r="J6">
        <f>SUMIFS('Entity'!$K$2:$K$13,'Entity'!$A$2:$A$13,$A6,'Entity'!$C$2:$C$13,$B6)</f>
        <v/>
      </c>
      <c r="K6">
        <f>SUMIFS('Entity'!$L$2:$L$13,'Entity'!$A$2:$A$13,$A6,'Entity'!$C$2:$C$13,$B6)</f>
        <v/>
      </c>
      <c r="L6">
        <f>SUMIFS('Entity'!$M$2:$M$13,'Entity'!$A$2:$A$13,$A6,'Entity'!$C$2:$C$13,$B6)</f>
        <v/>
      </c>
      <c r="M6">
        <f>SUMIFS('Entity'!$N$2:$N$13,'Entity'!$A$2:$A$13,$A6,'Entity'!$C$2:$C$13,$B6)</f>
        <v/>
      </c>
      <c r="N6">
        <f>SUMIFS('Entity'!$O$2:$O$13,'Entity'!$A$2:$A$13,$A6,'Entity'!$C$2:$C$13,$B6)</f>
        <v/>
      </c>
      <c r="O6">
        <f>SUMIFS('Entity'!$P$2:$P$13,'Entity'!$A$2:$A$13,$A6,'Entity'!$C$2:$C$13,$B6)</f>
        <v/>
      </c>
      <c r="P6">
        <f>SUMIFS('Entity'!$Q$2:$Q$13,'Entity'!$A$2:$A$13,$A6,'Entity'!$C$2:$C$13,$B6)</f>
        <v/>
      </c>
      <c r="Q6">
        <f>SUMIFS('Entity'!$R$2:$R$13,'Entity'!$A$2:$A$13,$A6,'Entity'!$C$2:$C$13,$B6)</f>
        <v/>
      </c>
      <c r="R6">
        <f>SUMIFS('Entity'!$S$2:$S$13,'Entity'!$A$2:$A$13,$A6,'Entity'!$C$2:$C$13,$B6)</f>
        <v/>
      </c>
      <c r="S6">
        <f>SUMIFS('Entity'!$T$2:$T$13,'Entity'!$A$2:$A$13,$A6,'Entity'!$C$2:$C$13,$B6)</f>
        <v/>
      </c>
      <c r="T6">
        <f>SUMIFS('Entity'!$U$2:$U$13,'Entity'!$A$2:$A$13,$A6,'Entity'!$C$2:$C$13,$B6)</f>
        <v/>
      </c>
      <c r="U6">
        <f>SUMIFS('Entity'!$V$2:$V$13,'Entity'!$A$2:$A$13,$A6,'Entity'!$C$2:$C$13,$B6)</f>
        <v/>
      </c>
      <c r="V6">
        <f>SUMIFS('Entity'!$W$2:$W$13,'Entity'!$A$2:$A$13,$A6,'Entity'!$C$2:$C$13,$B6)</f>
        <v/>
      </c>
      <c r="W6">
        <f>SUMIFS('Entity'!$X$2:$X$13,'Entity'!$A$2:$A$13,$A6,'Entity'!$C$2:$C$13,$B6)</f>
        <v/>
      </c>
      <c r="X6">
        <f>SUMIFS('Entity'!$Y$2:$Y$13,'Entity'!$A$2:$A$13,$A6,'Entity'!$C$2:$C$13,$B6)</f>
        <v/>
      </c>
      <c r="Y6">
        <f>SUMIFS('Entity'!$Z$2:$Z$13,'Entity'!$A$2:$A$13,$A6,'Entity'!$C$2:$C$13,$B6)</f>
        <v/>
      </c>
      <c r="Z6">
        <f>SUMIFS('Entity'!$AA$2:$AA$13,'Entity'!$A$2:$A$13,$A6,'Entity'!$C$2:$C$13,$B6)</f>
        <v/>
      </c>
      <c r="AA6">
        <f>SUMIFS('Entity'!$AB$2:$AB$13,'Entity'!$A$2:$A$13,$A6,'Entity'!$C$2:$C$13,$B6)</f>
        <v/>
      </c>
      <c r="AB6">
        <f>SUMIFS('Entity'!$AC$2:$AC$13,'Entity'!$A$2:$A$13,$A6,'Entity'!$C$2:$C$13,$B6)</f>
        <v/>
      </c>
      <c r="AC6">
        <f>SUMIFS('Entity'!$AD$2:$AD$13,'Entity'!$A$2:$A$13,$A6,'Entity'!$C$2:$C$13,$B6)</f>
        <v/>
      </c>
      <c r="AD6">
        <f>SUMIFS('Entity'!$AE$2:$AE$13,'Entity'!$A$2:$A$13,$A6,'Entity'!$C$2:$C$13,$B6)</f>
        <v/>
      </c>
      <c r="AE6">
        <f>SUMIFS('Entity'!$AF$2:$AF$13,'Entity'!$A$2:$A$13,$A6,'Entity'!$C$2:$C$13,$B6)</f>
        <v/>
      </c>
      <c r="AF6">
        <f>SUMIFS('Entity'!$AG$2:$AG$13,'Entity'!$A$2:$A$13,$A6,'Entity'!$C$2:$C$13,$B6)</f>
        <v/>
      </c>
      <c r="AG6">
        <f>SUMIFS('Entity'!$AH$2:$AH$13,'Entity'!$A$2:$A$13,$A6,'Entity'!$C$2:$C$13,$B6)</f>
        <v/>
      </c>
      <c r="AH6">
        <f>SUMIFS('Entity'!$AI$2:$AI$13,'Entity'!$A$2:$A$13,$A6,'Entity'!$C$2:$C$13,$B6)</f>
        <v/>
      </c>
      <c r="AI6">
        <f>SUMIFS('Entity'!$AJ$2:$AJ$13,'Entity'!$A$2:$A$13,$A6,'Entity'!$C$2:$C$13,$B6)</f>
        <v/>
      </c>
      <c r="AJ6">
        <f>SUMIFS('Entity'!$AK$2:$AK$13,'Entity'!$A$2:$A$13,$A6,'Entity'!$C$2:$C$13,$B6)</f>
        <v/>
      </c>
      <c r="AK6">
        <f>SUMIFS('Entity'!$AL$2:$AL$13,'Entity'!$A$2:$A$13,$A6,'Entity'!$C$2:$C$13,$B6)</f>
        <v/>
      </c>
      <c r="AL6">
        <f>SUMIFS('Entity'!$AM$2:$AM$13,'Entity'!$A$2:$A$13,$A6,'Entity'!$C$2:$C$13,$B6)</f>
        <v/>
      </c>
      <c r="AM6">
        <f>SUMIFS('Entity'!$AN$2:$AN$13,'Entity'!$A$2:$A$13,$A6,'Entity'!$C$2:$C$13,$B6)</f>
        <v/>
      </c>
      <c r="AN6">
        <f>SUMIFS('Entity'!$AO$2:$AO$13,'Entity'!$A$2:$A$13,$A6,'Entity'!$C$2:$C$13,$B6)</f>
        <v/>
      </c>
      <c r="AO6">
        <f>SUMIFS('Entity'!$AP$2:$AP$13,'Entity'!$A$2:$A$13,$A6,'Entity'!$C$2:$C$13,$B6)</f>
        <v/>
      </c>
      <c r="AP6">
        <f>MINIFS('Entity'!$AQ$2:$AQ$13,'Entity'!$A$2:$A$13,$A6,'Entity'!$C$2:$C$13,$B6)</f>
        <v/>
      </c>
      <c r="AQ6" s="3">
        <f>IFERROR(100*K6/I6,0)</f>
        <v/>
      </c>
      <c r="AR6" s="3">
        <f>IFERROR(100*K6/H6,0)</f>
        <v/>
      </c>
      <c r="AS6" s="3">
        <f>IFERROR(100*E6/C6,0)</f>
        <v/>
      </c>
      <c r="AT6" s="3">
        <f>IFERROR(100*K6/G6,0)</f>
        <v/>
      </c>
      <c r="AU6" s="3">
        <f>IFERROR(100*N6/M6,0)</f>
        <v/>
      </c>
      <c r="AV6" s="3">
        <f>IFERROR(100*K6/L6,0)</f>
        <v/>
      </c>
      <c r="AW6" s="3">
        <f>IFERROR(E6/P6,0)</f>
        <v/>
      </c>
      <c r="AX6" s="3">
        <f>IFERROR(Q6/P6,0)</f>
        <v/>
      </c>
      <c r="AY6" s="3">
        <f>F6</f>
        <v/>
      </c>
      <c r="AZ6" s="3">
        <f>O6</f>
        <v/>
      </c>
      <c r="BA6" s="3">
        <f>IFERROR(100*S6/R6,0)</f>
        <v/>
      </c>
      <c r="BB6" s="3">
        <f>IFERROR(1000*(T6+V6)/K6,0)</f>
        <v/>
      </c>
      <c r="BC6" s="3">
        <f>T6</f>
        <v/>
      </c>
      <c r="BD6" s="3">
        <f>U6</f>
        <v/>
      </c>
      <c r="BE6" s="3">
        <f>W6</f>
        <v/>
      </c>
      <c r="BF6" s="3">
        <f>X6</f>
        <v/>
      </c>
      <c r="BG6" s="3">
        <f>IFERROR(Y6/K6,0)</f>
        <v/>
      </c>
      <c r="BH6" s="3">
        <f>Z6</f>
        <v/>
      </c>
      <c r="BI6" s="3">
        <f>AA6</f>
        <v/>
      </c>
      <c r="BJ6" s="3">
        <f>AM6</f>
        <v/>
      </c>
      <c r="BK6" s="3">
        <f>IFERROR(100*AO6/AN6,0)</f>
        <v/>
      </c>
      <c r="BL6" s="3">
        <f>AH6</f>
        <v/>
      </c>
      <c r="BM6" s="3">
        <f>IFERROR(200000*AC6/AB6,0)</f>
        <v/>
      </c>
      <c r="BN6" s="3">
        <f>AD6</f>
        <v/>
      </c>
      <c r="BO6" s="3">
        <f>AE6</f>
        <v/>
      </c>
      <c r="BP6" s="3">
        <f>AF6</f>
        <v/>
      </c>
      <c r="BQ6" s="3">
        <f>AG6</f>
        <v/>
      </c>
      <c r="BR6" s="3">
        <f>AI6</f>
        <v/>
      </c>
      <c r="BS6" s="3">
        <f>AJ6</f>
        <v/>
      </c>
      <c r="BT6" s="3">
        <f>IF(AK6=0,100,100*AL6/AK6)</f>
        <v/>
      </c>
      <c r="BU6" s="3">
        <f>AP6</f>
        <v/>
      </c>
    </row>
    <row r="7">
      <c r="A7" t="inlineStr">
        <is>
          <t>Group</t>
        </is>
      </c>
      <c r="B7" t="inlineStr">
        <is>
          <t>2026-09</t>
        </is>
      </c>
      <c r="C7">
        <f>SUMIFS('Entity'!$D$2:$D$13,'Entity'!$A$2:$A$13,$A7,'Entity'!$C$2:$C$13,$B7)</f>
        <v/>
      </c>
      <c r="D7">
        <f>SUMIFS('Entity'!$E$2:$E$13,'Entity'!$A$2:$A$13,$A7,'Entity'!$C$2:$C$13,$B7)</f>
        <v/>
      </c>
      <c r="E7">
        <f>SUMIFS('Entity'!$F$2:$F$13,'Entity'!$A$2:$A$13,$A7,'Entity'!$C$2:$C$13,$B7)</f>
        <v/>
      </c>
      <c r="F7">
        <f>SUMIFS('Entity'!$G$2:$G$13,'Entity'!$A$2:$A$13,$A7,'Entity'!$C$2:$C$13,$B7)</f>
        <v/>
      </c>
      <c r="G7">
        <f>SUMIFS('Entity'!$H$2:$H$13,'Entity'!$A$2:$A$13,$A7,'Entity'!$C$2:$C$13,$B7)</f>
        <v/>
      </c>
      <c r="H7">
        <f>SUMIFS('Entity'!$I$2:$I$13,'Entity'!$A$2:$A$13,$A7,'Entity'!$C$2:$C$13,$B7)</f>
        <v/>
      </c>
      <c r="I7">
        <f>SUMIFS('Entity'!$J$2:$J$13,'Entity'!$A$2:$A$13,$A7,'Entity'!$C$2:$C$13,$B7)</f>
        <v/>
      </c>
      <c r="J7">
        <f>SUMIFS('Entity'!$K$2:$K$13,'Entity'!$A$2:$A$13,$A7,'Entity'!$C$2:$C$13,$B7)</f>
        <v/>
      </c>
      <c r="K7">
        <f>SUMIFS('Entity'!$L$2:$L$13,'Entity'!$A$2:$A$13,$A7,'Entity'!$C$2:$C$13,$B7)</f>
        <v/>
      </c>
      <c r="L7">
        <f>SUMIFS('Entity'!$M$2:$M$13,'Entity'!$A$2:$A$13,$A7,'Entity'!$C$2:$C$13,$B7)</f>
        <v/>
      </c>
      <c r="M7">
        <f>SUMIFS('Entity'!$N$2:$N$13,'Entity'!$A$2:$A$13,$A7,'Entity'!$C$2:$C$13,$B7)</f>
        <v/>
      </c>
      <c r="N7">
        <f>SUMIFS('Entity'!$O$2:$O$13,'Entity'!$A$2:$A$13,$A7,'Entity'!$C$2:$C$13,$B7)</f>
        <v/>
      </c>
      <c r="O7">
        <f>SUMIFS('Entity'!$P$2:$P$13,'Entity'!$A$2:$A$13,$A7,'Entity'!$C$2:$C$13,$B7)</f>
        <v/>
      </c>
      <c r="P7">
        <f>SUMIFS('Entity'!$Q$2:$Q$13,'Entity'!$A$2:$A$13,$A7,'Entity'!$C$2:$C$13,$B7)</f>
        <v/>
      </c>
      <c r="Q7">
        <f>SUMIFS('Entity'!$R$2:$R$13,'Entity'!$A$2:$A$13,$A7,'Entity'!$C$2:$C$13,$B7)</f>
        <v/>
      </c>
      <c r="R7">
        <f>SUMIFS('Entity'!$S$2:$S$13,'Entity'!$A$2:$A$13,$A7,'Entity'!$C$2:$C$13,$B7)</f>
        <v/>
      </c>
      <c r="S7">
        <f>SUMIFS('Entity'!$T$2:$T$13,'Entity'!$A$2:$A$13,$A7,'Entity'!$C$2:$C$13,$B7)</f>
        <v/>
      </c>
      <c r="T7">
        <f>SUMIFS('Entity'!$U$2:$U$13,'Entity'!$A$2:$A$13,$A7,'Entity'!$C$2:$C$13,$B7)</f>
        <v/>
      </c>
      <c r="U7">
        <f>SUMIFS('Entity'!$V$2:$V$13,'Entity'!$A$2:$A$13,$A7,'Entity'!$C$2:$C$13,$B7)</f>
        <v/>
      </c>
      <c r="V7">
        <f>SUMIFS('Entity'!$W$2:$W$13,'Entity'!$A$2:$A$13,$A7,'Entity'!$C$2:$C$13,$B7)</f>
        <v/>
      </c>
      <c r="W7">
        <f>SUMIFS('Entity'!$X$2:$X$13,'Entity'!$A$2:$A$13,$A7,'Entity'!$C$2:$C$13,$B7)</f>
        <v/>
      </c>
      <c r="X7">
        <f>SUMIFS('Entity'!$Y$2:$Y$13,'Entity'!$A$2:$A$13,$A7,'Entity'!$C$2:$C$13,$B7)</f>
        <v/>
      </c>
      <c r="Y7">
        <f>SUMIFS('Entity'!$Z$2:$Z$13,'Entity'!$A$2:$A$13,$A7,'Entity'!$C$2:$C$13,$B7)</f>
        <v/>
      </c>
      <c r="Z7">
        <f>SUMIFS('Entity'!$AA$2:$AA$13,'Entity'!$A$2:$A$13,$A7,'Entity'!$C$2:$C$13,$B7)</f>
        <v/>
      </c>
      <c r="AA7">
        <f>SUMIFS('Entity'!$AB$2:$AB$13,'Entity'!$A$2:$A$13,$A7,'Entity'!$C$2:$C$13,$B7)</f>
        <v/>
      </c>
      <c r="AB7">
        <f>SUMIFS('Entity'!$AC$2:$AC$13,'Entity'!$A$2:$A$13,$A7,'Entity'!$C$2:$C$13,$B7)</f>
        <v/>
      </c>
      <c r="AC7">
        <f>SUMIFS('Entity'!$AD$2:$AD$13,'Entity'!$A$2:$A$13,$A7,'Entity'!$C$2:$C$13,$B7)</f>
        <v/>
      </c>
      <c r="AD7">
        <f>SUMIFS('Entity'!$AE$2:$AE$13,'Entity'!$A$2:$A$13,$A7,'Entity'!$C$2:$C$13,$B7)</f>
        <v/>
      </c>
      <c r="AE7">
        <f>SUMIFS('Entity'!$AF$2:$AF$13,'Entity'!$A$2:$A$13,$A7,'Entity'!$C$2:$C$13,$B7)</f>
        <v/>
      </c>
      <c r="AF7">
        <f>SUMIFS('Entity'!$AG$2:$AG$13,'Entity'!$A$2:$A$13,$A7,'Entity'!$C$2:$C$13,$B7)</f>
        <v/>
      </c>
      <c r="AG7">
        <f>SUMIFS('Entity'!$AH$2:$AH$13,'Entity'!$A$2:$A$13,$A7,'Entity'!$C$2:$C$13,$B7)</f>
        <v/>
      </c>
      <c r="AH7">
        <f>SUMIFS('Entity'!$AI$2:$AI$13,'Entity'!$A$2:$A$13,$A7,'Entity'!$C$2:$C$13,$B7)</f>
        <v/>
      </c>
      <c r="AI7">
        <f>SUMIFS('Entity'!$AJ$2:$AJ$13,'Entity'!$A$2:$A$13,$A7,'Entity'!$C$2:$C$13,$B7)</f>
        <v/>
      </c>
      <c r="AJ7">
        <f>SUMIFS('Entity'!$AK$2:$AK$13,'Entity'!$A$2:$A$13,$A7,'Entity'!$C$2:$C$13,$B7)</f>
        <v/>
      </c>
      <c r="AK7">
        <f>SUMIFS('Entity'!$AL$2:$AL$13,'Entity'!$A$2:$A$13,$A7,'Entity'!$C$2:$C$13,$B7)</f>
        <v/>
      </c>
      <c r="AL7">
        <f>SUMIFS('Entity'!$AM$2:$AM$13,'Entity'!$A$2:$A$13,$A7,'Entity'!$C$2:$C$13,$B7)</f>
        <v/>
      </c>
      <c r="AM7">
        <f>SUMIFS('Entity'!$AN$2:$AN$13,'Entity'!$A$2:$A$13,$A7,'Entity'!$C$2:$C$13,$B7)</f>
        <v/>
      </c>
      <c r="AN7">
        <f>SUMIFS('Entity'!$AO$2:$AO$13,'Entity'!$A$2:$A$13,$A7,'Entity'!$C$2:$C$13,$B7)</f>
        <v/>
      </c>
      <c r="AO7">
        <f>SUMIFS('Entity'!$AP$2:$AP$13,'Entity'!$A$2:$A$13,$A7,'Entity'!$C$2:$C$13,$B7)</f>
        <v/>
      </c>
      <c r="AP7">
        <f>MINIFS('Entity'!$AQ$2:$AQ$13,'Entity'!$A$2:$A$13,$A7,'Entity'!$C$2:$C$13,$B7)</f>
        <v/>
      </c>
      <c r="AQ7" s="3">
        <f>IFERROR(100*K7/I7,0)</f>
        <v/>
      </c>
      <c r="AR7" s="3">
        <f>IFERROR(100*K7/H7,0)</f>
        <v/>
      </c>
      <c r="AS7" s="3">
        <f>IFERROR(100*E7/C7,0)</f>
        <v/>
      </c>
      <c r="AT7" s="3">
        <f>IFERROR(100*K7/G7,0)</f>
        <v/>
      </c>
      <c r="AU7" s="3">
        <f>IFERROR(100*N7/M7,0)</f>
        <v/>
      </c>
      <c r="AV7" s="3">
        <f>IFERROR(100*K7/L7,0)</f>
        <v/>
      </c>
      <c r="AW7" s="3">
        <f>IFERROR(E7/P7,0)</f>
        <v/>
      </c>
      <c r="AX7" s="3">
        <f>IFERROR(Q7/P7,0)</f>
        <v/>
      </c>
      <c r="AY7" s="3">
        <f>F7</f>
        <v/>
      </c>
      <c r="AZ7" s="3">
        <f>O7</f>
        <v/>
      </c>
      <c r="BA7" s="3">
        <f>IFERROR(100*S7/R7,0)</f>
        <v/>
      </c>
      <c r="BB7" s="3">
        <f>IFERROR(1000*(T7+V7)/K7,0)</f>
        <v/>
      </c>
      <c r="BC7" s="3">
        <f>T7</f>
        <v/>
      </c>
      <c r="BD7" s="3">
        <f>U7</f>
        <v/>
      </c>
      <c r="BE7" s="3">
        <f>W7</f>
        <v/>
      </c>
      <c r="BF7" s="3">
        <f>X7</f>
        <v/>
      </c>
      <c r="BG7" s="3">
        <f>IFERROR(Y7/K7,0)</f>
        <v/>
      </c>
      <c r="BH7" s="3">
        <f>Z7</f>
        <v/>
      </c>
      <c r="BI7" s="3">
        <f>AA7</f>
        <v/>
      </c>
      <c r="BJ7" s="3">
        <f>AM7</f>
        <v/>
      </c>
      <c r="BK7" s="3">
        <f>IFERROR(100*AO7/AN7,0)</f>
        <v/>
      </c>
      <c r="BL7" s="3">
        <f>AH7</f>
        <v/>
      </c>
      <c r="BM7" s="3">
        <f>IFERROR(200000*AC7/AB7,0)</f>
        <v/>
      </c>
      <c r="BN7" s="3">
        <f>AD7</f>
        <v/>
      </c>
      <c r="BO7" s="3">
        <f>AE7</f>
        <v/>
      </c>
      <c r="BP7" s="3">
        <f>AF7</f>
        <v/>
      </c>
      <c r="BQ7" s="3">
        <f>AG7</f>
        <v/>
      </c>
      <c r="BR7" s="3">
        <f>AI7</f>
        <v/>
      </c>
      <c r="BS7" s="3">
        <f>AJ7</f>
        <v/>
      </c>
      <c r="BT7" s="3">
        <f>IF(AK7=0,100,100*AL7/AK7)</f>
        <v/>
      </c>
      <c r="BU7" s="3">
        <f>AP7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12" customWidth="1" min="4" max="4"/>
    <col width="60" customWidth="1" min="5" max="5"/>
    <col width="50" customWidth="1" min="6" max="6"/>
  </cols>
  <sheetData>
    <row r="1">
      <c r="A1" s="1" t="inlineStr">
        <is>
          <t>Type</t>
        </is>
      </c>
      <c r="B1" s="1" t="inlineStr">
        <is>
          <t>Field / KPI ID</t>
        </is>
      </c>
      <c r="C1" s="1" t="inlineStr">
        <is>
          <t>Name</t>
        </is>
      </c>
      <c r="D1" s="1" t="inlineStr">
        <is>
          <t>Unit</t>
        </is>
      </c>
      <c r="E1" s="1" t="inlineStr">
        <is>
          <t>Roll-up rule / formula</t>
        </is>
      </c>
      <c r="F1" s="1" t="inlineStr">
        <is>
          <t>Description</t>
        </is>
      </c>
    </row>
    <row r="2">
      <c r="A2" t="inlineStr">
        <is>
          <t>Base measure</t>
        </is>
      </c>
      <c r="B2" t="inlineStr">
        <is>
          <t>calendar_hours</t>
        </is>
      </c>
      <c r="C2" t="inlineStr">
        <is>
          <t>calendar_hours</t>
        </is>
      </c>
      <c r="D2" t="inlineStr">
        <is>
          <t>h</t>
        </is>
      </c>
      <c r="E2" t="inlineStr">
        <is>
          <t>SUM</t>
        </is>
      </c>
      <c r="F2" t="inlineStr">
        <is>
          <t>Calendar hours in period</t>
        </is>
      </c>
    </row>
    <row r="3">
      <c r="A3" t="inlineStr">
        <is>
          <t>Base measure</t>
        </is>
      </c>
      <c r="B3" t="inlineStr">
        <is>
          <t>planned_op_hours</t>
        </is>
      </c>
      <c r="C3" t="inlineStr">
        <is>
          <t>planned_op_hours</t>
        </is>
      </c>
      <c r="D3" t="inlineStr">
        <is>
          <t>h</t>
        </is>
      </c>
      <c r="E3" t="inlineStr">
        <is>
          <t>SUM</t>
        </is>
      </c>
      <c r="F3" t="inlineStr">
        <is>
          <t>Calendar hours minus planned shutdown</t>
        </is>
      </c>
    </row>
    <row r="4">
      <c r="A4" t="inlineStr">
        <is>
          <t>Base measure</t>
        </is>
      </c>
      <c r="B4" t="inlineStr">
        <is>
          <t>run_hours</t>
        </is>
      </c>
      <c r="C4" t="inlineStr">
        <is>
          <t>run_hours</t>
        </is>
      </c>
      <c r="D4" t="inlineStr">
        <is>
          <t>h</t>
        </is>
      </c>
      <c r="E4" t="inlineStr">
        <is>
          <t>SUM</t>
        </is>
      </c>
      <c r="F4" t="inlineStr">
        <is>
          <t>Hours actually running</t>
        </is>
      </c>
    </row>
    <row r="5">
      <c r="A5" t="inlineStr">
        <is>
          <t>Base measure</t>
        </is>
      </c>
      <c r="B5" t="inlineStr">
        <is>
          <t>unplanned_downtime_hours</t>
        </is>
      </c>
      <c r="C5" t="inlineStr">
        <is>
          <t>unplanned_downtime_hours</t>
        </is>
      </c>
      <c r="D5" t="inlineStr">
        <is>
          <t>h</t>
        </is>
      </c>
      <c r="E5" t="inlineStr">
        <is>
          <t>SUM</t>
        </is>
      </c>
      <c r="F5" t="inlineStr">
        <is>
          <t>Unplanned stoppage hours</t>
        </is>
      </c>
    </row>
    <row r="6">
      <c r="A6" t="inlineStr">
        <is>
          <t>Base measure</t>
        </is>
      </c>
      <c r="B6" t="inlineStr">
        <is>
          <t>ideal_output_t</t>
        </is>
      </c>
      <c r="C6" t="inlineStr">
        <is>
          <t>ideal_output_t</t>
        </is>
      </c>
      <c r="D6" t="inlineStr">
        <is>
          <t>t</t>
        </is>
      </c>
      <c r="E6" t="inlineStr">
        <is>
          <t>SUM</t>
        </is>
      </c>
      <c r="F6" t="inlineStr">
        <is>
          <t>Planned op hours x nameplate rate (theoretical max)</t>
        </is>
      </c>
    </row>
    <row r="7">
      <c r="A7" t="inlineStr">
        <is>
          <t>Base measure</t>
        </is>
      </c>
      <c r="B7" t="inlineStr">
        <is>
          <t>installed_capacity_t</t>
        </is>
      </c>
      <c r="C7" t="inlineStr">
        <is>
          <t>installed_capacity_t</t>
        </is>
      </c>
      <c r="D7" t="inlineStr">
        <is>
          <t>t</t>
        </is>
      </c>
      <c r="E7" t="inlineStr">
        <is>
          <t>SUM</t>
        </is>
      </c>
      <c r="F7" t="inlineStr">
        <is>
          <t>Calendar hours x nameplate rate</t>
        </is>
      </c>
    </row>
    <row r="8">
      <c r="A8" t="inlineStr">
        <is>
          <t>Base measure</t>
        </is>
      </c>
      <c r="B8" t="inlineStr">
        <is>
          <t>planned_production_t</t>
        </is>
      </c>
      <c r="C8" t="inlineStr">
        <is>
          <t>planned_production_t</t>
        </is>
      </c>
      <c r="D8" t="inlineStr">
        <is>
          <t>t</t>
        </is>
      </c>
      <c r="E8" t="inlineStr">
        <is>
          <t>SUM</t>
        </is>
      </c>
      <c r="F8" t="inlineStr">
        <is>
          <t>Production plan for the period</t>
        </is>
      </c>
    </row>
    <row r="9">
      <c r="A9" t="inlineStr">
        <is>
          <t>Base measure</t>
        </is>
      </c>
      <c r="B9" t="inlineStr">
        <is>
          <t>gross_output_t</t>
        </is>
      </c>
      <c r="C9" t="inlineStr">
        <is>
          <t>gross_output_t</t>
        </is>
      </c>
      <c r="D9" t="inlineStr">
        <is>
          <t>t</t>
        </is>
      </c>
      <c r="E9" t="inlineStr">
        <is>
          <t>SUM</t>
        </is>
      </c>
      <c r="F9" t="inlineStr">
        <is>
          <t>All output incl. off-spec</t>
        </is>
      </c>
    </row>
    <row r="10">
      <c r="A10" t="inlineStr">
        <is>
          <t>Base measure</t>
        </is>
      </c>
      <c r="B10" t="inlineStr">
        <is>
          <t>good_output_t</t>
        </is>
      </c>
      <c r="C10" t="inlineStr">
        <is>
          <t>good_output_t</t>
        </is>
      </c>
      <c r="D10" t="inlineStr">
        <is>
          <t>t</t>
        </is>
      </c>
      <c r="E10" t="inlineStr">
        <is>
          <t>SUM</t>
        </is>
      </c>
      <c r="F10" t="inlineStr">
        <is>
          <t>On-spec output = reported production</t>
        </is>
      </c>
    </row>
    <row r="11">
      <c r="A11" t="inlineStr">
        <is>
          <t>Base measure</t>
        </is>
      </c>
      <c r="B11" t="inlineStr">
        <is>
          <t>feed_input_t</t>
        </is>
      </c>
      <c r="C11" t="inlineStr">
        <is>
          <t>feed_input_t</t>
        </is>
      </c>
      <c r="D11" t="inlineStr">
        <is>
          <t>t</t>
        </is>
      </c>
      <c r="E11" t="inlineStr">
        <is>
          <t>SUM</t>
        </is>
      </c>
      <c r="F11" t="inlineStr">
        <is>
          <t>Raw material fed to process</t>
        </is>
      </c>
    </row>
    <row r="12">
      <c r="A12" t="inlineStr">
        <is>
          <t>Base measure</t>
        </is>
      </c>
      <c r="B12" t="inlineStr">
        <is>
          <t>feed_contained_t</t>
        </is>
      </c>
      <c r="C12" t="inlineStr">
        <is>
          <t>feed_contained_t</t>
        </is>
      </c>
      <c r="D12" t="inlineStr">
        <is>
          <t>t</t>
        </is>
      </c>
      <c r="E12" t="inlineStr">
        <is>
          <t>SUM</t>
        </is>
      </c>
      <c r="F12" t="inlineStr">
        <is>
          <t>Valuable content in feed</t>
        </is>
      </c>
    </row>
    <row r="13">
      <c r="A13" t="inlineStr">
        <is>
          <t>Base measure</t>
        </is>
      </c>
      <c r="B13" t="inlineStr">
        <is>
          <t>recovered_contained_t</t>
        </is>
      </c>
      <c r="C13" t="inlineStr">
        <is>
          <t>recovered_contained_t</t>
        </is>
      </c>
      <c r="D13" t="inlineStr">
        <is>
          <t>t</t>
        </is>
      </c>
      <c r="E13" t="inlineStr">
        <is>
          <t>SUM</t>
        </is>
      </c>
      <c r="F13" t="inlineStr">
        <is>
          <t>Valuable content recovered to product</t>
        </is>
      </c>
    </row>
    <row r="14">
      <c r="A14" t="inlineStr">
        <is>
          <t>Base measure</t>
        </is>
      </c>
      <c r="B14" t="inlineStr">
        <is>
          <t>prod_loss_downtime_t</t>
        </is>
      </c>
      <c r="C14" t="inlineStr">
        <is>
          <t>prod_loss_downtime_t</t>
        </is>
      </c>
      <c r="D14" t="inlineStr">
        <is>
          <t>t</t>
        </is>
      </c>
      <c r="E14" t="inlineStr">
        <is>
          <t>SUM</t>
        </is>
      </c>
      <c r="F14" t="inlineStr">
        <is>
          <t>Unplanned downtime hours x nameplate rate</t>
        </is>
      </c>
    </row>
    <row r="15">
      <c r="A15" t="inlineStr">
        <is>
          <t>Base measure</t>
        </is>
      </c>
      <c r="B15" t="inlineStr">
        <is>
          <t>failures</t>
        </is>
      </c>
      <c r="C15" t="inlineStr">
        <is>
          <t>failures</t>
        </is>
      </c>
      <c r="D15" t="inlineStr">
        <is>
          <t>count</t>
        </is>
      </c>
      <c r="E15" t="inlineStr">
        <is>
          <t>SUM</t>
        </is>
      </c>
      <c r="F15" t="inlineStr">
        <is>
          <t>Breakdown events</t>
        </is>
      </c>
    </row>
    <row r="16">
      <c r="A16" t="inlineStr">
        <is>
          <t>Base measure</t>
        </is>
      </c>
      <c r="B16" t="inlineStr">
        <is>
          <t>repair_hours</t>
        </is>
      </c>
      <c r="C16" t="inlineStr">
        <is>
          <t>repair_hours</t>
        </is>
      </c>
      <c r="D16" t="inlineStr">
        <is>
          <t>h</t>
        </is>
      </c>
      <c r="E16" t="inlineStr">
        <is>
          <t>SUM</t>
        </is>
      </c>
      <c r="F16" t="inlineStr">
        <is>
          <t>Hours spent repairing breakdowns</t>
        </is>
      </c>
    </row>
    <row r="17">
      <c r="A17" t="inlineStr">
        <is>
          <t>Base measure</t>
        </is>
      </c>
      <c r="B17" t="inlineStr">
        <is>
          <t>pm_scheduled</t>
        </is>
      </c>
      <c r="C17" t="inlineStr">
        <is>
          <t>pm_scheduled</t>
        </is>
      </c>
      <c r="D17" t="inlineStr">
        <is>
          <t>count</t>
        </is>
      </c>
      <c r="E17" t="inlineStr">
        <is>
          <t>SUM</t>
        </is>
      </c>
      <c r="F17" t="inlineStr">
        <is>
          <t>Preventive-maintenance orders due</t>
        </is>
      </c>
    </row>
    <row r="18">
      <c r="A18" t="inlineStr">
        <is>
          <t>Base measure</t>
        </is>
      </c>
      <c r="B18" t="inlineStr">
        <is>
          <t>pm_completed</t>
        </is>
      </c>
      <c r="C18" t="inlineStr">
        <is>
          <t>pm_completed</t>
        </is>
      </c>
      <c r="D18" t="inlineStr">
        <is>
          <t>count</t>
        </is>
      </c>
      <c r="E18" t="inlineStr">
        <is>
          <t>SUM</t>
        </is>
      </c>
      <c r="F18" t="inlineStr">
        <is>
          <t>PM orders completed on time</t>
        </is>
      </c>
    </row>
    <row r="19">
      <c r="A19" t="inlineStr">
        <is>
          <t>Base measure</t>
        </is>
      </c>
      <c r="B19" t="inlineStr">
        <is>
          <t>variable_cost_k</t>
        </is>
      </c>
      <c r="C19" t="inlineStr">
        <is>
          <t>variable_cost_k</t>
        </is>
      </c>
      <c r="D19" t="inlineStr">
        <is>
          <t>cur k</t>
        </is>
      </c>
      <c r="E19" t="inlineStr">
        <is>
          <t>SUM</t>
        </is>
      </c>
      <c r="F19" t="inlineStr">
        <is>
          <t>Variable cost incl. fuel (currency, thousands)</t>
        </is>
      </c>
    </row>
    <row r="20">
      <c r="A20" t="inlineStr">
        <is>
          <t>Base measure</t>
        </is>
      </c>
      <c r="B20" t="inlineStr">
        <is>
          <t>fuel_cost_k</t>
        </is>
      </c>
      <c r="C20" t="inlineStr">
        <is>
          <t>fuel_cost_k</t>
        </is>
      </c>
      <c r="D20" t="inlineStr">
        <is>
          <t>cur k</t>
        </is>
      </c>
      <c r="E20" t="inlineStr">
        <is>
          <t>SUM</t>
        </is>
      </c>
      <c r="F20" t="inlineStr">
        <is>
          <t>Fuel cost (subset of variable cost)</t>
        </is>
      </c>
    </row>
    <row r="21">
      <c r="A21" t="inlineStr">
        <is>
          <t>Base measure</t>
        </is>
      </c>
      <c r="B21" t="inlineStr">
        <is>
          <t>fixed_cost_k</t>
        </is>
      </c>
      <c r="C21" t="inlineStr">
        <is>
          <t>fixed_cost_k</t>
        </is>
      </c>
      <c r="D21" t="inlineStr">
        <is>
          <t>cur k</t>
        </is>
      </c>
      <c r="E21" t="inlineStr">
        <is>
          <t>SUM</t>
        </is>
      </c>
      <c r="F21" t="inlineStr">
        <is>
          <t>Fixed conversion cost</t>
        </is>
      </c>
    </row>
    <row r="22">
      <c r="A22" t="inlineStr">
        <is>
          <t>Base measure</t>
        </is>
      </c>
      <c r="B22" t="inlineStr">
        <is>
          <t>water_m3</t>
        </is>
      </c>
      <c r="C22" t="inlineStr">
        <is>
          <t>water_m3</t>
        </is>
      </c>
      <c r="D22" t="inlineStr">
        <is>
          <t>m3</t>
        </is>
      </c>
      <c r="E22" t="inlineStr">
        <is>
          <t>SUM</t>
        </is>
      </c>
      <c r="F22" t="inlineStr">
        <is>
          <t>Water withdrawn</t>
        </is>
      </c>
    </row>
    <row r="23">
      <c r="A23" t="inlineStr">
        <is>
          <t>Base measure</t>
        </is>
      </c>
      <c r="B23" t="inlineStr">
        <is>
          <t>emissions_tco2e</t>
        </is>
      </c>
      <c r="C23" t="inlineStr">
        <is>
          <t>emissions_tco2e</t>
        </is>
      </c>
      <c r="D23" t="inlineStr">
        <is>
          <t>tCO2e</t>
        </is>
      </c>
      <c r="E23" t="inlineStr">
        <is>
          <t>SUM</t>
        </is>
      </c>
      <c r="F23" t="inlineStr">
        <is>
          <t>Scope 1+2 emissions</t>
        </is>
      </c>
    </row>
    <row r="24">
      <c r="A24" t="inlineStr">
        <is>
          <t>Base measure</t>
        </is>
      </c>
      <c r="B24" t="inlineStr">
        <is>
          <t>energy_gj</t>
        </is>
      </c>
      <c r="C24" t="inlineStr">
        <is>
          <t>energy_gj</t>
        </is>
      </c>
      <c r="D24" t="inlineStr">
        <is>
          <t>GJ</t>
        </is>
      </c>
      <c r="E24" t="inlineStr">
        <is>
          <t>SUM</t>
        </is>
      </c>
      <c r="F24" t="inlineStr">
        <is>
          <t>Energy consumed</t>
        </is>
      </c>
    </row>
    <row r="25">
      <c r="A25" t="inlineStr">
        <is>
          <t>Base measure</t>
        </is>
      </c>
      <c r="B25" t="inlineStr">
        <is>
          <t>production_at_risk_t</t>
        </is>
      </c>
      <c r="C25" t="inlineStr">
        <is>
          <t>production_at_risk_t</t>
        </is>
      </c>
      <c r="D25" t="inlineStr">
        <is>
          <t>t</t>
        </is>
      </c>
      <c r="E25" t="inlineStr">
        <is>
          <t>SUM</t>
        </is>
      </c>
      <c r="F25" t="inlineStr">
        <is>
          <t>Forecast shortfall vs plan for rest of period</t>
        </is>
      </c>
    </row>
    <row r="26">
      <c r="A26" t="inlineStr">
        <is>
          <t>Base measure</t>
        </is>
      </c>
      <c r="B26" t="inlineStr">
        <is>
          <t>critical_plant_alerts</t>
        </is>
      </c>
      <c r="C26" t="inlineStr">
        <is>
          <t>critical_plant_alerts</t>
        </is>
      </c>
      <c r="D26" t="inlineStr">
        <is>
          <t>count</t>
        </is>
      </c>
      <c r="E26" t="inlineStr">
        <is>
          <t>SUM</t>
        </is>
      </c>
      <c r="F26" t="inlineStr">
        <is>
          <t>Open critical plant-state alerts at period end</t>
        </is>
      </c>
    </row>
    <row r="27">
      <c r="A27" t="inlineStr">
        <is>
          <t>Base measure</t>
        </is>
      </c>
      <c r="B27" t="inlineStr">
        <is>
          <t>hours_worked</t>
        </is>
      </c>
      <c r="C27" t="inlineStr">
        <is>
          <t>hours_worked</t>
        </is>
      </c>
      <c r="D27" t="inlineStr">
        <is>
          <t>h</t>
        </is>
      </c>
      <c r="E27" t="inlineStr">
        <is>
          <t>SUM</t>
        </is>
      </c>
      <c r="F27" t="inlineStr">
        <is>
          <t>Employee + contractor hours worked</t>
        </is>
      </c>
    </row>
    <row r="28">
      <c r="A28" t="inlineStr">
        <is>
          <t>Base measure</t>
        </is>
      </c>
      <c r="B28" t="inlineStr">
        <is>
          <t>recordable_injuries</t>
        </is>
      </c>
      <c r="C28" t="inlineStr">
        <is>
          <t>recordable_injuries</t>
        </is>
      </c>
      <c r="D28" t="inlineStr">
        <is>
          <t>count</t>
        </is>
      </c>
      <c r="E28" t="inlineStr">
        <is>
          <t>SUM</t>
        </is>
      </c>
      <c r="F28" t="inlineStr">
        <is>
          <t>OSHA-style recordable injuries</t>
        </is>
      </c>
    </row>
    <row r="29">
      <c r="A29" t="inlineStr">
        <is>
          <t>Base measure</t>
        </is>
      </c>
      <c r="B29" t="inlineStr">
        <is>
          <t>severity_incidents</t>
        </is>
      </c>
      <c r="C29" t="inlineStr">
        <is>
          <t>severity_incidents</t>
        </is>
      </c>
      <c r="D29" t="inlineStr">
        <is>
          <t>count</t>
        </is>
      </c>
      <c r="E29" t="inlineStr">
        <is>
          <t>SUM</t>
        </is>
      </c>
      <c r="F29" t="inlineStr">
        <is>
          <t>Severity incidents</t>
        </is>
      </c>
    </row>
    <row r="30">
      <c r="A30" t="inlineStr">
        <is>
          <t>Base measure</t>
        </is>
      </c>
      <c r="B30" t="inlineStr">
        <is>
          <t>near_misses</t>
        </is>
      </c>
      <c r="C30" t="inlineStr">
        <is>
          <t>near_misses</t>
        </is>
      </c>
      <c r="D30" t="inlineStr">
        <is>
          <t>count</t>
        </is>
      </c>
      <c r="E30" t="inlineStr">
        <is>
          <t>SUM</t>
        </is>
      </c>
      <c r="F30" t="inlineStr">
        <is>
          <t>Near misses reported</t>
        </is>
      </c>
    </row>
    <row r="31">
      <c r="A31" t="inlineStr">
        <is>
          <t>Base measure</t>
        </is>
      </c>
      <c r="B31" t="inlineStr">
        <is>
          <t>critical_safety_incidents</t>
        </is>
      </c>
      <c r="C31" t="inlineStr">
        <is>
          <t>critical_safety_incidents</t>
        </is>
      </c>
      <c r="D31" t="inlineStr">
        <is>
          <t>count</t>
        </is>
      </c>
      <c r="E31" t="inlineStr">
        <is>
          <t>SUM</t>
        </is>
      </c>
      <c r="F31" t="inlineStr">
        <is>
          <t>Critical safety incidents</t>
        </is>
      </c>
    </row>
    <row r="32">
      <c r="A32" t="inlineStr">
        <is>
          <t>Base measure</t>
        </is>
      </c>
      <c r="B32" t="inlineStr">
        <is>
          <t>env_excursions</t>
        </is>
      </c>
      <c r="C32" t="inlineStr">
        <is>
          <t>env_excursions</t>
        </is>
      </c>
      <c r="D32" t="inlineStr">
        <is>
          <t>count</t>
        </is>
      </c>
      <c r="E32" t="inlineStr">
        <is>
          <t>SUM</t>
        </is>
      </c>
      <c r="F32" t="inlineStr">
        <is>
          <t>Environmental limit excursions</t>
        </is>
      </c>
    </row>
    <row r="33">
      <c r="A33" t="inlineStr">
        <is>
          <t>Base measure</t>
        </is>
      </c>
      <c r="B33" t="inlineStr">
        <is>
          <t>env_violations</t>
        </is>
      </c>
      <c r="C33" t="inlineStr">
        <is>
          <t>env_violations</t>
        </is>
      </c>
      <c r="D33" t="inlineStr">
        <is>
          <t>count</t>
        </is>
      </c>
      <c r="E33" t="inlineStr">
        <is>
          <t>SUM</t>
        </is>
      </c>
      <c r="F33" t="inlineStr">
        <is>
          <t>Environmental violations (regulator-noted)</t>
        </is>
      </c>
    </row>
    <row r="34">
      <c r="A34" t="inlineStr">
        <is>
          <t>Base measure</t>
        </is>
      </c>
      <c r="B34" t="inlineStr">
        <is>
          <t>ehs_ca_open</t>
        </is>
      </c>
      <c r="C34" t="inlineStr">
        <is>
          <t>ehs_ca_open</t>
        </is>
      </c>
      <c r="D34" t="inlineStr">
        <is>
          <t>count</t>
        </is>
      </c>
      <c r="E34" t="inlineStr">
        <is>
          <t>SUM</t>
        </is>
      </c>
      <c r="F34" t="inlineStr">
        <is>
          <t>Open EHS corrective actions at period end</t>
        </is>
      </c>
    </row>
    <row r="35">
      <c r="A35" t="inlineStr">
        <is>
          <t>Base measure</t>
        </is>
      </c>
      <c r="B35" t="inlineStr">
        <is>
          <t>ehs_ca_overdue</t>
        </is>
      </c>
      <c r="C35" t="inlineStr">
        <is>
          <t>ehs_ca_overdue</t>
        </is>
      </c>
      <c r="D35" t="inlineStr">
        <is>
          <t>count</t>
        </is>
      </c>
      <c r="E35" t="inlineStr">
        <is>
          <t>SUM</t>
        </is>
      </c>
      <c r="F35" t="inlineStr">
        <is>
          <t>Of which overdue</t>
        </is>
      </c>
    </row>
    <row r="36">
      <c r="A36" t="inlineStr">
        <is>
          <t>Base measure</t>
        </is>
      </c>
      <c r="B36" t="inlineStr">
        <is>
          <t>investigations_due</t>
        </is>
      </c>
      <c r="C36" t="inlineStr">
        <is>
          <t>investigations_due</t>
        </is>
      </c>
      <c r="D36" t="inlineStr">
        <is>
          <t>count</t>
        </is>
      </c>
      <c r="E36" t="inlineStr">
        <is>
          <t>SUM</t>
        </is>
      </c>
      <c r="F36" t="inlineStr">
        <is>
          <t>EHS investigations due</t>
        </is>
      </c>
    </row>
    <row r="37">
      <c r="A37" t="inlineStr">
        <is>
          <t>Base measure</t>
        </is>
      </c>
      <c r="B37" t="inlineStr">
        <is>
          <t>investigations_completed</t>
        </is>
      </c>
      <c r="C37" t="inlineStr">
        <is>
          <t>investigations_completed</t>
        </is>
      </c>
      <c r="D37" t="inlineStr">
        <is>
          <t>count</t>
        </is>
      </c>
      <c r="E37" t="inlineStr">
        <is>
          <t>SUM</t>
        </is>
      </c>
      <c r="F37" t="inlineStr">
        <is>
          <t>EHS investigations completed</t>
        </is>
      </c>
    </row>
    <row r="38">
      <c r="A38" t="inlineStr">
        <is>
          <t>Base measure</t>
        </is>
      </c>
      <c r="B38" t="inlineStr">
        <is>
          <t>critical_material_risks</t>
        </is>
      </c>
      <c r="C38" t="inlineStr">
        <is>
          <t>critical_material_risks</t>
        </is>
      </c>
      <c r="D38" t="inlineStr">
        <is>
          <t>count</t>
        </is>
      </c>
      <c r="E38" t="inlineStr">
        <is>
          <t>SUM</t>
        </is>
      </c>
      <c r="F38" t="inlineStr">
        <is>
          <t>Critical materials with &lt; 7 days cover</t>
        </is>
      </c>
    </row>
    <row r="39">
      <c r="A39" t="inlineStr">
        <is>
          <t>Base measure</t>
        </is>
      </c>
      <c r="B39" t="inlineStr">
        <is>
          <t>dispatches_total</t>
        </is>
      </c>
      <c r="C39" t="inlineStr">
        <is>
          <t>dispatches_total</t>
        </is>
      </c>
      <c r="D39" t="inlineStr">
        <is>
          <t>count</t>
        </is>
      </c>
      <c r="E39" t="inlineStr">
        <is>
          <t>SUM</t>
        </is>
      </c>
      <c r="F39" t="inlineStr">
        <is>
          <t>Dispatches scheduled</t>
        </is>
      </c>
    </row>
    <row r="40">
      <c r="A40" t="inlineStr">
        <is>
          <t>Base measure</t>
        </is>
      </c>
      <c r="B40" t="inlineStr">
        <is>
          <t>dispatches_delayed</t>
        </is>
      </c>
      <c r="C40" t="inlineStr">
        <is>
          <t>dispatches_delayed</t>
        </is>
      </c>
      <c r="D40" t="inlineStr">
        <is>
          <t>count</t>
        </is>
      </c>
      <c r="E40" t="inlineStr">
        <is>
          <t>SUM</t>
        </is>
      </c>
      <c r="F40" t="inlineStr">
        <is>
          <t>Dispatches late</t>
        </is>
      </c>
    </row>
    <row r="41">
      <c r="A41" t="inlineStr">
        <is>
          <t>Base measure</t>
        </is>
      </c>
      <c r="B41" t="inlineStr">
        <is>
          <t>permit_days_to_expiry</t>
        </is>
      </c>
      <c r="C41" t="inlineStr">
        <is>
          <t>permit_days_to_expiry</t>
        </is>
      </c>
      <c r="D41" t="inlineStr">
        <is>
          <t>days</t>
        </is>
      </c>
      <c r="E41" t="inlineStr">
        <is>
          <t>MIN</t>
        </is>
      </c>
      <c r="F41" t="inlineStr">
        <is>
          <t>Days to nearest licence/permit expiry</t>
        </is>
      </c>
    </row>
    <row r="42">
      <c r="A42" t="inlineStr">
        <is>
          <t>KPI</t>
        </is>
      </c>
      <c r="B42" t="inlineStr">
        <is>
          <t>OPS-001</t>
        </is>
      </c>
      <c r="C42" t="inlineStr">
        <is>
          <t>Production vs plan</t>
        </is>
      </c>
      <c r="D42" t="inlineStr">
        <is>
          <t>%</t>
        </is>
      </c>
      <c r="E42" t="inlineStr">
        <is>
          <t>good_output_t / planned_production_t x 100</t>
        </is>
      </c>
      <c r="F42" t="inlineStr">
        <is>
          <t>Recomputed at every level from rolled-up base measures</t>
        </is>
      </c>
    </row>
    <row r="43">
      <c r="A43" t="inlineStr">
        <is>
          <t>KPI</t>
        </is>
      </c>
      <c r="B43" t="inlineStr">
        <is>
          <t>OPS-003</t>
        </is>
      </c>
      <c r="C43" t="inlineStr">
        <is>
          <t>Capacity utilization</t>
        </is>
      </c>
      <c r="D43" t="inlineStr">
        <is>
          <t>%</t>
        </is>
      </c>
      <c r="E43" t="inlineStr">
        <is>
          <t>good_output_t / installed_capacity_t x 100</t>
        </is>
      </c>
      <c r="F43" t="inlineStr">
        <is>
          <t>Recomputed at every level from rolled-up base measures</t>
        </is>
      </c>
    </row>
    <row r="44">
      <c r="A44" t="inlineStr">
        <is>
          <t>KPI</t>
        </is>
      </c>
      <c r="B44" t="inlineStr">
        <is>
          <t>PLT-001</t>
        </is>
      </c>
      <c r="C44" t="inlineStr">
        <is>
          <t>Asset utilization</t>
        </is>
      </c>
      <c r="D44" t="inlineStr">
        <is>
          <t>%</t>
        </is>
      </c>
      <c r="E44" t="inlineStr">
        <is>
          <t>run_hours / calendar_hours x 100</t>
        </is>
      </c>
      <c r="F44" t="inlineStr">
        <is>
          <t>Recomputed at every level from rolled-up base measures</t>
        </is>
      </c>
    </row>
    <row r="45">
      <c r="A45" t="inlineStr">
        <is>
          <t>KPI</t>
        </is>
      </c>
      <c r="B45" t="inlineStr">
        <is>
          <t>PLT-002</t>
        </is>
      </c>
      <c r="C45" t="inlineStr">
        <is>
          <t>OEE</t>
        </is>
      </c>
      <c r="D45" t="inlineStr">
        <is>
          <t>%</t>
        </is>
      </c>
      <c r="E45" t="inlineStr">
        <is>
          <t>Availability x Performance x Quality = good_output_t / ideal_output_t x 100</t>
        </is>
      </c>
      <c r="F45" t="inlineStr">
        <is>
          <t>Recomputed at every level from rolled-up base measures</t>
        </is>
      </c>
    </row>
    <row r="46">
      <c r="A46" t="inlineStr">
        <is>
          <t>KPI</t>
        </is>
      </c>
      <c r="B46" t="inlineStr">
        <is>
          <t>PLT-004</t>
        </is>
      </c>
      <c r="C46" t="inlineStr">
        <is>
          <t>Recovery percentage</t>
        </is>
      </c>
      <c r="D46" t="inlineStr">
        <is>
          <t>%</t>
        </is>
      </c>
      <c r="E46" t="inlineStr">
        <is>
          <t>recovered_contained_t / feed_contained_t x 100</t>
        </is>
      </c>
      <c r="F46" t="inlineStr">
        <is>
          <t>Recomputed at every level from rolled-up base measures</t>
        </is>
      </c>
    </row>
    <row r="47">
      <c r="A47" t="inlineStr">
        <is>
          <t>KPI</t>
        </is>
      </c>
      <c r="B47" t="inlineStr">
        <is>
          <t>PLT-005</t>
        </is>
      </c>
      <c r="C47" t="inlineStr">
        <is>
          <t>Yield</t>
        </is>
      </c>
      <c r="D47" t="inlineStr">
        <is>
          <t>%</t>
        </is>
      </c>
      <c r="E47" t="inlineStr">
        <is>
          <t>good_output_t / feed_input_t x 100</t>
        </is>
      </c>
      <c r="F47" t="inlineStr">
        <is>
          <t>Recomputed at every level from rolled-up base measures</t>
        </is>
      </c>
    </row>
    <row r="48">
      <c r="A48" t="inlineStr">
        <is>
          <t>KPI</t>
        </is>
      </c>
      <c r="B48" t="inlineStr">
        <is>
          <t>REL-001</t>
        </is>
      </c>
      <c r="C48" t="inlineStr">
        <is>
          <t>MTBF</t>
        </is>
      </c>
      <c r="D48" t="inlineStr">
        <is>
          <t>h</t>
        </is>
      </c>
      <c r="E48" t="inlineStr">
        <is>
          <t>run_hours / failures</t>
        </is>
      </c>
      <c r="F48" t="inlineStr">
        <is>
          <t>Recomputed at every level from rolled-up base measures</t>
        </is>
      </c>
    </row>
    <row r="49">
      <c r="A49" t="inlineStr">
        <is>
          <t>KPI</t>
        </is>
      </c>
      <c r="B49" t="inlineStr">
        <is>
          <t>REL-002</t>
        </is>
      </c>
      <c r="C49" t="inlineStr">
        <is>
          <t>Mean Time to Repair</t>
        </is>
      </c>
      <c r="D49" t="inlineStr">
        <is>
          <t>h</t>
        </is>
      </c>
      <c r="E49" t="inlineStr">
        <is>
          <t>repair_hours / failures</t>
        </is>
      </c>
      <c r="F49" t="inlineStr">
        <is>
          <t>Recomputed at every level from rolled-up base measures</t>
        </is>
      </c>
    </row>
    <row r="50">
      <c r="A50" t="inlineStr">
        <is>
          <t>KPI</t>
        </is>
      </c>
      <c r="B50" t="inlineStr">
        <is>
          <t>REL-003</t>
        </is>
      </c>
      <c r="C50" t="inlineStr">
        <is>
          <t>Unplanned downtime</t>
        </is>
      </c>
      <c r="D50" t="inlineStr">
        <is>
          <t>h</t>
        </is>
      </c>
      <c r="E50" t="inlineStr">
        <is>
          <t>unplanned_downtime_hours</t>
        </is>
      </c>
      <c r="F50" t="inlineStr">
        <is>
          <t>Recomputed at every level from rolled-up base measures</t>
        </is>
      </c>
    </row>
    <row r="51">
      <c r="A51" t="inlineStr">
        <is>
          <t>KPI</t>
        </is>
      </c>
      <c r="B51" t="inlineStr">
        <is>
          <t>REL-004</t>
        </is>
      </c>
      <c r="C51" t="inlineStr">
        <is>
          <t>Production loss from downtime</t>
        </is>
      </c>
      <c r="D51" t="inlineStr">
        <is>
          <t>t</t>
        </is>
      </c>
      <c r="E51" t="inlineStr">
        <is>
          <t>prod_loss_downtime_t</t>
        </is>
      </c>
      <c r="F51" t="inlineStr">
        <is>
          <t>Recomputed at every level from rolled-up base measures</t>
        </is>
      </c>
    </row>
    <row r="52">
      <c r="A52" t="inlineStr">
        <is>
          <t>KPI</t>
        </is>
      </c>
      <c r="B52" t="inlineStr">
        <is>
          <t>REL-005</t>
        </is>
      </c>
      <c r="C52" t="inlineStr">
        <is>
          <t>Preventive-maintenance compliance</t>
        </is>
      </c>
      <c r="D52" t="inlineStr">
        <is>
          <t>%</t>
        </is>
      </c>
      <c r="E52" t="inlineStr">
        <is>
          <t>pm_completed / pm_scheduled x 100</t>
        </is>
      </c>
      <c r="F52" t="inlineStr">
        <is>
          <t>Recomputed at every level from rolled-up base measures</t>
        </is>
      </c>
    </row>
    <row r="53">
      <c r="A53" t="inlineStr">
        <is>
          <t>KPI</t>
        </is>
      </c>
      <c r="B53" t="inlineStr">
        <is>
          <t>CST-001</t>
        </is>
      </c>
      <c r="C53" t="inlineStr">
        <is>
          <t>Cost per tonne</t>
        </is>
      </c>
      <c r="D53" t="inlineStr">
        <is>
          <t>cur/t</t>
        </is>
      </c>
      <c r="E53" t="inlineStr">
        <is>
          <t>(variable_cost_k + fixed_cost_k) x 1000 / good_output_t</t>
        </is>
      </c>
      <c r="F53" t="inlineStr">
        <is>
          <t>Recomputed at every level from rolled-up base measures</t>
        </is>
      </c>
    </row>
    <row r="54">
      <c r="A54" t="inlineStr">
        <is>
          <t>KPI</t>
        </is>
      </c>
      <c r="B54" t="inlineStr">
        <is>
          <t>CST-002</t>
        </is>
      </c>
      <c r="C54" t="inlineStr">
        <is>
          <t>Variable cost</t>
        </is>
      </c>
      <c r="D54" t="inlineStr">
        <is>
          <t>cur k</t>
        </is>
      </c>
      <c r="E54" t="inlineStr">
        <is>
          <t>variable_cost_k</t>
        </is>
      </c>
      <c r="F54" t="inlineStr">
        <is>
          <t>Recomputed at every level from rolled-up base measures</t>
        </is>
      </c>
    </row>
    <row r="55">
      <c r="A55" t="inlineStr">
        <is>
          <t>KPI</t>
        </is>
      </c>
      <c r="B55" t="inlineStr">
        <is>
          <t>CST-003</t>
        </is>
      </c>
      <c r="C55" t="inlineStr">
        <is>
          <t>Fuel cost</t>
        </is>
      </c>
      <c r="D55" t="inlineStr">
        <is>
          <t>cur k</t>
        </is>
      </c>
      <c r="E55" t="inlineStr">
        <is>
          <t>fuel_cost_k</t>
        </is>
      </c>
      <c r="F55" t="inlineStr">
        <is>
          <t>Recomputed at every level from rolled-up base measures</t>
        </is>
      </c>
    </row>
    <row r="56">
      <c r="A56" t="inlineStr">
        <is>
          <t>KPI</t>
        </is>
      </c>
      <c r="B56" t="inlineStr">
        <is>
          <t>SUS-001</t>
        </is>
      </c>
      <c r="C56" t="inlineStr">
        <is>
          <t>Water usage</t>
        </is>
      </c>
      <c r="D56" t="inlineStr">
        <is>
          <t>m3</t>
        </is>
      </c>
      <c r="E56" t="inlineStr">
        <is>
          <t>water_m3</t>
        </is>
      </c>
      <c r="F56" t="inlineStr">
        <is>
          <t>Recomputed at every level from rolled-up base measures</t>
        </is>
      </c>
    </row>
    <row r="57">
      <c r="A57" t="inlineStr">
        <is>
          <t>KPI</t>
        </is>
      </c>
      <c r="B57" t="inlineStr">
        <is>
          <t>SUS-002</t>
        </is>
      </c>
      <c r="C57" t="inlineStr">
        <is>
          <t>Emissions</t>
        </is>
      </c>
      <c r="D57" t="inlineStr">
        <is>
          <t>tCO2e</t>
        </is>
      </c>
      <c r="E57" t="inlineStr">
        <is>
          <t>emissions_tco2e</t>
        </is>
      </c>
      <c r="F57" t="inlineStr">
        <is>
          <t>Recomputed at every level from rolled-up base measures</t>
        </is>
      </c>
    </row>
    <row r="58">
      <c r="A58" t="inlineStr">
        <is>
          <t>KPI</t>
        </is>
      </c>
      <c r="B58" t="inlineStr">
        <is>
          <t>SUS-003</t>
        </is>
      </c>
      <c r="C58" t="inlineStr">
        <is>
          <t>Energy intensity</t>
        </is>
      </c>
      <c r="D58" t="inlineStr">
        <is>
          <t>GJ/t</t>
        </is>
      </c>
      <c r="E58" t="inlineStr">
        <is>
          <t>energy_gj / good_output_t</t>
        </is>
      </c>
      <c r="F58" t="inlineStr">
        <is>
          <t>Recomputed at every level from rolled-up base measures</t>
        </is>
      </c>
    </row>
    <row r="59">
      <c r="A59" t="inlineStr">
        <is>
          <t>KPI</t>
        </is>
      </c>
      <c r="B59" t="inlineStr">
        <is>
          <t>SIG-007</t>
        </is>
      </c>
      <c r="C59" t="inlineStr">
        <is>
          <t>Production at risk</t>
        </is>
      </c>
      <c r="D59" t="inlineStr">
        <is>
          <t>t</t>
        </is>
      </c>
      <c r="E59" t="inlineStr">
        <is>
          <t>production_at_risk_t</t>
        </is>
      </c>
      <c r="F59" t="inlineStr">
        <is>
          <t>Recomputed at every level from rolled-up base measures</t>
        </is>
      </c>
    </row>
    <row r="60">
      <c r="A60" t="inlineStr">
        <is>
          <t>KPI</t>
        </is>
      </c>
      <c r="B60" t="inlineStr">
        <is>
          <t>SIG-008</t>
        </is>
      </c>
      <c r="C60" t="inlineStr">
        <is>
          <t>Critical plant-state alerts</t>
        </is>
      </c>
      <c r="D60" t="inlineStr">
        <is>
          <t>count</t>
        </is>
      </c>
      <c r="E60" t="inlineStr">
        <is>
          <t>critical_plant_alerts</t>
        </is>
      </c>
      <c r="F60" t="inlineStr">
        <is>
          <t>Recomputed at every level from rolled-up base measures</t>
        </is>
      </c>
    </row>
    <row r="61">
      <c r="A61" t="inlineStr">
        <is>
          <t>KPI</t>
        </is>
      </c>
      <c r="B61" t="inlineStr">
        <is>
          <t>SIG-009</t>
        </is>
      </c>
      <c r="C61" t="inlineStr">
        <is>
          <t>Critical-material shortage risk</t>
        </is>
      </c>
      <c r="D61" t="inlineStr">
        <is>
          <t>count</t>
        </is>
      </c>
      <c r="E61" t="inlineStr">
        <is>
          <t>critical_material_risks</t>
        </is>
      </c>
      <c r="F61" t="inlineStr">
        <is>
          <t>Recomputed at every level from rolled-up base measures</t>
        </is>
      </c>
    </row>
    <row r="62">
      <c r="A62" t="inlineStr">
        <is>
          <t>KPI</t>
        </is>
      </c>
      <c r="B62" t="inlineStr">
        <is>
          <t>SIG-012</t>
        </is>
      </c>
      <c r="C62" t="inlineStr">
        <is>
          <t>Dispatch delays</t>
        </is>
      </c>
      <c r="D62" t="inlineStr">
        <is>
          <t>%</t>
        </is>
      </c>
      <c r="E62" t="inlineStr">
        <is>
          <t>dispatches_delayed / dispatches_total x 100</t>
        </is>
      </c>
      <c r="F62" t="inlineStr">
        <is>
          <t>Recomputed at every level from rolled-up base measures</t>
        </is>
      </c>
    </row>
    <row r="63">
      <c r="A63" t="inlineStr">
        <is>
          <t>KPI</t>
        </is>
      </c>
      <c r="B63" t="inlineStr">
        <is>
          <t>SIG-021</t>
        </is>
      </c>
      <c r="C63" t="inlineStr">
        <is>
          <t>Environmental violations</t>
        </is>
      </c>
      <c r="D63" t="inlineStr">
        <is>
          <t>count</t>
        </is>
      </c>
      <c r="E63" t="inlineStr">
        <is>
          <t>env_violations</t>
        </is>
      </c>
      <c r="F63" t="inlineStr">
        <is>
          <t>Recomputed at every level from rolled-up base measures</t>
        </is>
      </c>
    </row>
    <row r="64">
      <c r="A64" t="inlineStr">
        <is>
          <t>KPI</t>
        </is>
      </c>
      <c r="B64" t="inlineStr">
        <is>
          <t>EHS-001</t>
        </is>
      </c>
      <c r="C64" t="inlineStr">
        <is>
          <t>TRIR</t>
        </is>
      </c>
      <c r="D64" t="inlineStr">
        <is>
          <t>per 200k h</t>
        </is>
      </c>
      <c r="E64" t="inlineStr">
        <is>
          <t>recordable_injuries x 200,000 / hours_worked</t>
        </is>
      </c>
      <c r="F64" t="inlineStr">
        <is>
          <t>Recomputed at every level from rolled-up base measures</t>
        </is>
      </c>
    </row>
    <row r="65">
      <c r="A65" t="inlineStr">
        <is>
          <t>KPI</t>
        </is>
      </c>
      <c r="B65" t="inlineStr">
        <is>
          <t>EHS-002</t>
        </is>
      </c>
      <c r="C65" t="inlineStr">
        <is>
          <t>Severity incidents</t>
        </is>
      </c>
      <c r="D65" t="inlineStr">
        <is>
          <t>count</t>
        </is>
      </c>
      <c r="E65" t="inlineStr">
        <is>
          <t>severity_incidents</t>
        </is>
      </c>
      <c r="F65" t="inlineStr">
        <is>
          <t>Recomputed at every level from rolled-up base measures</t>
        </is>
      </c>
    </row>
    <row r="66">
      <c r="A66" t="inlineStr">
        <is>
          <t>KPI</t>
        </is>
      </c>
      <c r="B66" t="inlineStr">
        <is>
          <t>EHS-003</t>
        </is>
      </c>
      <c r="C66" t="inlineStr">
        <is>
          <t>Near misses</t>
        </is>
      </c>
      <c r="D66" t="inlineStr">
        <is>
          <t>count</t>
        </is>
      </c>
      <c r="E66" t="inlineStr">
        <is>
          <t>near_misses</t>
        </is>
      </c>
      <c r="F66" t="inlineStr">
        <is>
          <t>Recomputed at every level from rolled-up base measures</t>
        </is>
      </c>
    </row>
    <row r="67">
      <c r="A67" t="inlineStr">
        <is>
          <t>KPI</t>
        </is>
      </c>
      <c r="B67" t="inlineStr">
        <is>
          <t>EHS-004</t>
        </is>
      </c>
      <c r="C67" t="inlineStr">
        <is>
          <t>Critical safety incidents</t>
        </is>
      </c>
      <c r="D67" t="inlineStr">
        <is>
          <t>count</t>
        </is>
      </c>
      <c r="E67" t="inlineStr">
        <is>
          <t>critical_safety_incidents</t>
        </is>
      </c>
      <c r="F67" t="inlineStr">
        <is>
          <t>Recomputed at every level from rolled-up base measures</t>
        </is>
      </c>
    </row>
    <row r="68">
      <c r="A68" t="inlineStr">
        <is>
          <t>KPI</t>
        </is>
      </c>
      <c r="B68" t="inlineStr">
        <is>
          <t>EHS-005</t>
        </is>
      </c>
      <c r="C68" t="inlineStr">
        <is>
          <t>Environmental excursions</t>
        </is>
      </c>
      <c r="D68" t="inlineStr">
        <is>
          <t>count</t>
        </is>
      </c>
      <c r="E68" t="inlineStr">
        <is>
          <t>env_excursions</t>
        </is>
      </c>
      <c r="F68" t="inlineStr">
        <is>
          <t>Recomputed at every level from rolled-up base measures</t>
        </is>
      </c>
    </row>
    <row r="69">
      <c r="A69" t="inlineStr">
        <is>
          <t>KPI</t>
        </is>
      </c>
      <c r="B69" t="inlineStr">
        <is>
          <t>EHS-006</t>
        </is>
      </c>
      <c r="C69" t="inlineStr">
        <is>
          <t>Open EHS corrective actions</t>
        </is>
      </c>
      <c r="D69" t="inlineStr">
        <is>
          <t>count</t>
        </is>
      </c>
      <c r="E69" t="inlineStr">
        <is>
          <t>ehs_ca_open</t>
        </is>
      </c>
      <c r="F69" t="inlineStr">
        <is>
          <t>Recomputed at every level from rolled-up base measures</t>
        </is>
      </c>
    </row>
    <row r="70">
      <c r="A70" t="inlineStr">
        <is>
          <t>KPI</t>
        </is>
      </c>
      <c r="B70" t="inlineStr">
        <is>
          <t>EHS-007</t>
        </is>
      </c>
      <c r="C70" t="inlineStr">
        <is>
          <t>Overdue EHS actions</t>
        </is>
      </c>
      <c r="D70" t="inlineStr">
        <is>
          <t>count</t>
        </is>
      </c>
      <c r="E70" t="inlineStr">
        <is>
          <t>ehs_ca_overdue</t>
        </is>
      </c>
      <c r="F70" t="inlineStr">
        <is>
          <t>Recomputed at every level from rolled-up base measures</t>
        </is>
      </c>
    </row>
    <row r="71">
      <c r="A71" t="inlineStr">
        <is>
          <t>KPI</t>
        </is>
      </c>
      <c r="B71" t="inlineStr">
        <is>
          <t>EHS-009</t>
        </is>
      </c>
      <c r="C71" t="inlineStr">
        <is>
          <t>EHS investigation completion</t>
        </is>
      </c>
      <c r="D71" t="inlineStr">
        <is>
          <t>%</t>
        </is>
      </c>
      <c r="E71" t="inlineStr">
        <is>
          <t>investigations_completed / investigations_due x 100 (100 if none due)</t>
        </is>
      </c>
      <c r="F71" t="inlineStr">
        <is>
          <t>Recomputed at every level from rolled-up base measures</t>
        </is>
      </c>
    </row>
    <row r="72">
      <c r="A72" t="inlineStr">
        <is>
          <t>KPI</t>
        </is>
      </c>
      <c r="B72" t="inlineStr">
        <is>
          <t>REG-006</t>
        </is>
      </c>
      <c r="C72" t="inlineStr">
        <is>
          <t>Licence or permit expiry clock</t>
        </is>
      </c>
      <c r="D72" t="inlineStr">
        <is>
          <t>days</t>
        </is>
      </c>
      <c r="E72" t="inlineStr">
        <is>
          <t>permit_days_to_expiry (MIN across children)</t>
        </is>
      </c>
      <c r="F72" t="inlineStr">
        <is>
          <t>Recomputed at every level from rolled-up base measures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2026-10-05T12:17:05Z</dcterms:created>
  <dcterms:modified xmlns:dcterms="http://purl.org/dc/terms/" xmlns:xsi="http://www.w3.org/2001/XMLSchema-instance" xsi:type="dcterms:W3CDTF">2026-10-05T12:17:05Z</dcterms:modified>
</cp:coreProperties>
</file>