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Data" sheetId="1" state="visible" r:id="rId1"/>
    <sheet xmlns:r="http://schemas.openxmlformats.org/officeDocument/2006/relationships" name="KPI 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</cols>
  <sheetData>
    <row r="1">
      <c r="A1" s="1" t="inlineStr">
        <is>
          <t>group</t>
        </is>
      </c>
      <c r="B1" s="1" t="inlineStr">
        <is>
          <t>entity</t>
        </is>
      </c>
      <c r="C1" s="1" t="inlineStr">
        <is>
          <t>plant</t>
        </is>
      </c>
      <c r="D1" s="1" t="inlineStr">
        <is>
          <t>period</t>
        </is>
      </c>
      <c r="E1" s="1" t="inlineStr">
        <is>
          <t>nameplate_tph</t>
        </is>
      </c>
      <c r="F1" s="1" t="inlineStr">
        <is>
          <t>calendar_hours</t>
        </is>
      </c>
      <c r="G1" s="1" t="inlineStr">
        <is>
          <t>planned_op_hours</t>
        </is>
      </c>
      <c r="H1" s="1" t="inlineStr">
        <is>
          <t>run_hours</t>
        </is>
      </c>
      <c r="I1" s="1" t="inlineStr">
        <is>
          <t>unplanned_downtime_hours</t>
        </is>
      </c>
      <c r="J1" s="1" t="inlineStr">
        <is>
          <t>ideal_output_t</t>
        </is>
      </c>
      <c r="K1" s="1" t="inlineStr">
        <is>
          <t>installed_capacity_t</t>
        </is>
      </c>
      <c r="L1" s="1" t="inlineStr">
        <is>
          <t>planned_production_t</t>
        </is>
      </c>
      <c r="M1" s="1" t="inlineStr">
        <is>
          <t>gross_output_t</t>
        </is>
      </c>
      <c r="N1" s="1" t="inlineStr">
        <is>
          <t>good_output_t</t>
        </is>
      </c>
      <c r="O1" s="1" t="inlineStr">
        <is>
          <t>feed_input_t</t>
        </is>
      </c>
      <c r="P1" s="1" t="inlineStr">
        <is>
          <t>feed_contained_t</t>
        </is>
      </c>
      <c r="Q1" s="1" t="inlineStr">
        <is>
          <t>recovered_contained_t</t>
        </is>
      </c>
      <c r="R1" s="1" t="inlineStr">
        <is>
          <t>prod_loss_downtime_t</t>
        </is>
      </c>
      <c r="S1" s="1" t="inlineStr">
        <is>
          <t>failures</t>
        </is>
      </c>
      <c r="T1" s="1" t="inlineStr">
        <is>
          <t>repair_hours</t>
        </is>
      </c>
      <c r="U1" s="1" t="inlineStr">
        <is>
          <t>pm_scheduled</t>
        </is>
      </c>
      <c r="V1" s="1" t="inlineStr">
        <is>
          <t>pm_completed</t>
        </is>
      </c>
      <c r="W1" s="1" t="inlineStr">
        <is>
          <t>variable_cost_k</t>
        </is>
      </c>
      <c r="X1" s="1" t="inlineStr">
        <is>
          <t>fuel_cost_k</t>
        </is>
      </c>
      <c r="Y1" s="1" t="inlineStr">
        <is>
          <t>fixed_cost_k</t>
        </is>
      </c>
      <c r="Z1" s="1" t="inlineStr">
        <is>
          <t>water_m3</t>
        </is>
      </c>
      <c r="AA1" s="1" t="inlineStr">
        <is>
          <t>emissions_tco2e</t>
        </is>
      </c>
      <c r="AB1" s="1" t="inlineStr">
        <is>
          <t>energy_gj</t>
        </is>
      </c>
      <c r="AC1" s="1" t="inlineStr">
        <is>
          <t>production_at_risk_t</t>
        </is>
      </c>
      <c r="AD1" s="1" t="inlineStr">
        <is>
          <t>critical_plant_alerts</t>
        </is>
      </c>
      <c r="AE1" s="1" t="inlineStr">
        <is>
          <t>hours_worked</t>
        </is>
      </c>
      <c r="AF1" s="1" t="inlineStr">
        <is>
          <t>recordable_injuries</t>
        </is>
      </c>
      <c r="AG1" s="1" t="inlineStr">
        <is>
          <t>severity_incidents</t>
        </is>
      </c>
      <c r="AH1" s="1" t="inlineStr">
        <is>
          <t>near_misses</t>
        </is>
      </c>
      <c r="AI1" s="1" t="inlineStr">
        <is>
          <t>critical_safety_incidents</t>
        </is>
      </c>
      <c r="AJ1" s="1" t="inlineStr">
        <is>
          <t>env_excursions</t>
        </is>
      </c>
      <c r="AK1" s="1" t="inlineStr">
        <is>
          <t>env_violations</t>
        </is>
      </c>
      <c r="AL1" s="1" t="inlineStr">
        <is>
          <t>ehs_ca_open</t>
        </is>
      </c>
      <c r="AM1" s="1" t="inlineStr">
        <is>
          <t>ehs_ca_overdue</t>
        </is>
      </c>
      <c r="AN1" s="1" t="inlineStr">
        <is>
          <t>investigations_due</t>
        </is>
      </c>
      <c r="AO1" s="1" t="inlineStr">
        <is>
          <t>investigations_completed</t>
        </is>
      </c>
      <c r="AP1" s="1" t="inlineStr">
        <is>
          <t>critical_material_risks</t>
        </is>
      </c>
      <c r="AQ1" s="1" t="inlineStr">
        <is>
          <t>dispatches_total</t>
        </is>
      </c>
      <c r="AR1" s="1" t="inlineStr">
        <is>
          <t>dispatches_delayed</t>
        </is>
      </c>
      <c r="AS1" s="1" t="inlineStr">
        <is>
          <t>permit_days_to_expiry</t>
        </is>
      </c>
      <c r="AT1" s="2" t="inlineStr">
        <is>
          <t>OPS-001</t>
        </is>
      </c>
      <c r="AU1" s="2" t="inlineStr">
        <is>
          <t>OPS-003</t>
        </is>
      </c>
      <c r="AV1" s="2" t="inlineStr">
        <is>
          <t>PLT-001</t>
        </is>
      </c>
      <c r="AW1" s="2" t="inlineStr">
        <is>
          <t>PLT-002</t>
        </is>
      </c>
      <c r="AX1" s="2" t="inlineStr">
        <is>
          <t>PLT-004</t>
        </is>
      </c>
      <c r="AY1" s="2" t="inlineStr">
        <is>
          <t>PLT-005</t>
        </is>
      </c>
      <c r="AZ1" s="2" t="inlineStr">
        <is>
          <t>REL-001</t>
        </is>
      </c>
      <c r="BA1" s="2" t="inlineStr">
        <is>
          <t>REL-002</t>
        </is>
      </c>
      <c r="BB1" s="2" t="inlineStr">
        <is>
          <t>REL-003</t>
        </is>
      </c>
      <c r="BC1" s="2" t="inlineStr">
        <is>
          <t>REL-004</t>
        </is>
      </c>
      <c r="BD1" s="2" t="inlineStr">
        <is>
          <t>REL-005</t>
        </is>
      </c>
      <c r="BE1" s="2" t="inlineStr">
        <is>
          <t>CST-001</t>
        </is>
      </c>
      <c r="BF1" s="2" t="inlineStr">
        <is>
          <t>CST-002</t>
        </is>
      </c>
      <c r="BG1" s="2" t="inlineStr">
        <is>
          <t>CST-003</t>
        </is>
      </c>
      <c r="BH1" s="2" t="inlineStr">
        <is>
          <t>SUS-001</t>
        </is>
      </c>
      <c r="BI1" s="2" t="inlineStr">
        <is>
          <t>SUS-002</t>
        </is>
      </c>
      <c r="BJ1" s="2" t="inlineStr">
        <is>
          <t>SUS-003</t>
        </is>
      </c>
      <c r="BK1" s="2" t="inlineStr">
        <is>
          <t>SIG-007</t>
        </is>
      </c>
      <c r="BL1" s="2" t="inlineStr">
        <is>
          <t>SIG-008</t>
        </is>
      </c>
      <c r="BM1" s="2" t="inlineStr">
        <is>
          <t>SIG-009</t>
        </is>
      </c>
      <c r="BN1" s="2" t="inlineStr">
        <is>
          <t>SIG-012</t>
        </is>
      </c>
      <c r="BO1" s="2" t="inlineStr">
        <is>
          <t>SIG-021</t>
        </is>
      </c>
      <c r="BP1" s="2" t="inlineStr">
        <is>
          <t>EHS-001</t>
        </is>
      </c>
      <c r="BQ1" s="2" t="inlineStr">
        <is>
          <t>EHS-002</t>
        </is>
      </c>
      <c r="BR1" s="2" t="inlineStr">
        <is>
          <t>EHS-003</t>
        </is>
      </c>
      <c r="BS1" s="2" t="inlineStr">
        <is>
          <t>EHS-004</t>
        </is>
      </c>
      <c r="BT1" s="2" t="inlineStr">
        <is>
          <t>EHS-005</t>
        </is>
      </c>
      <c r="BU1" s="2" t="inlineStr">
        <is>
          <t>EHS-006</t>
        </is>
      </c>
      <c r="BV1" s="2" t="inlineStr">
        <is>
          <t>EHS-007</t>
        </is>
      </c>
      <c r="BW1" s="2" t="inlineStr">
        <is>
          <t>EHS-009</t>
        </is>
      </c>
      <c r="BX1" s="2" t="inlineStr">
        <is>
          <t>REG-006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>
        <is>
          <t>Production vs plan (%)</t>
        </is>
      </c>
      <c r="AU2" s="3" t="inlineStr">
        <is>
          <t>Capacity utilization (%)</t>
        </is>
      </c>
      <c r="AV2" s="3" t="inlineStr">
        <is>
          <t>Asset utilization (%)</t>
        </is>
      </c>
      <c r="AW2" s="3" t="inlineStr">
        <is>
          <t>OEE (%)</t>
        </is>
      </c>
      <c r="AX2" s="3" t="inlineStr">
        <is>
          <t>Recovery percentage (%)</t>
        </is>
      </c>
      <c r="AY2" s="3" t="inlineStr">
        <is>
          <t>Yield (%)</t>
        </is>
      </c>
      <c r="AZ2" s="3" t="inlineStr">
        <is>
          <t>MTBF (h)</t>
        </is>
      </c>
      <c r="BA2" s="3" t="inlineStr">
        <is>
          <t>Mean Time to Repair (h)</t>
        </is>
      </c>
      <c r="BB2" s="3" t="inlineStr">
        <is>
          <t>Unplanned downtime (h)</t>
        </is>
      </c>
      <c r="BC2" s="3" t="inlineStr">
        <is>
          <t>Production loss from downtime (t)</t>
        </is>
      </c>
      <c r="BD2" s="3" t="inlineStr">
        <is>
          <t>Preventive-maintenance compliance (%)</t>
        </is>
      </c>
      <c r="BE2" s="3" t="inlineStr">
        <is>
          <t>Cost per tonne (cur/t)</t>
        </is>
      </c>
      <c r="BF2" s="3" t="inlineStr">
        <is>
          <t>Variable cost (cur k)</t>
        </is>
      </c>
      <c r="BG2" s="3" t="inlineStr">
        <is>
          <t>Fuel cost (cur k)</t>
        </is>
      </c>
      <c r="BH2" s="3" t="inlineStr">
        <is>
          <t>Water usage (m3)</t>
        </is>
      </c>
      <c r="BI2" s="3" t="inlineStr">
        <is>
          <t>Emissions (tCO2e)</t>
        </is>
      </c>
      <c r="BJ2" s="3" t="inlineStr">
        <is>
          <t>Energy intensity (GJ/t)</t>
        </is>
      </c>
      <c r="BK2" s="3" t="inlineStr">
        <is>
          <t>Production at risk (t)</t>
        </is>
      </c>
      <c r="BL2" s="3" t="inlineStr">
        <is>
          <t>Critical plant-state alerts (count)</t>
        </is>
      </c>
      <c r="BM2" s="3" t="inlineStr">
        <is>
          <t>Critical-material shortage risk (count)</t>
        </is>
      </c>
      <c r="BN2" s="3" t="inlineStr">
        <is>
          <t>Dispatch delays (%)</t>
        </is>
      </c>
      <c r="BO2" s="3" t="inlineStr">
        <is>
          <t>Environmental violations (count)</t>
        </is>
      </c>
      <c r="BP2" s="3" t="inlineStr">
        <is>
          <t>TRIR (per 200k h)</t>
        </is>
      </c>
      <c r="BQ2" s="3" t="inlineStr">
        <is>
          <t>Severity incidents (count)</t>
        </is>
      </c>
      <c r="BR2" s="3" t="inlineStr">
        <is>
          <t>Near misses (count)</t>
        </is>
      </c>
      <c r="BS2" s="3" t="inlineStr">
        <is>
          <t>Critical safety incidents (count)</t>
        </is>
      </c>
      <c r="BT2" s="3" t="inlineStr">
        <is>
          <t>Environmental excursions (count)</t>
        </is>
      </c>
      <c r="BU2" s="3" t="inlineStr">
        <is>
          <t>Open EHS corrective actions (count)</t>
        </is>
      </c>
      <c r="BV2" s="3" t="inlineStr">
        <is>
          <t>Overdue EHS actions (count)</t>
        </is>
      </c>
      <c r="BW2" s="3" t="inlineStr">
        <is>
          <t>EHS investigation completion (%)</t>
        </is>
      </c>
      <c r="BX2" s="3" t="inlineStr">
        <is>
          <t>Licence or permit expiry clock (days)</t>
        </is>
      </c>
    </row>
    <row r="3">
      <c r="A3" s="3" t="inlineStr">
        <is>
          <t>Formula →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>
        <is>
          <t>good_output_t / planned_production_t x 100</t>
        </is>
      </c>
      <c r="AU3" s="3" t="inlineStr">
        <is>
          <t>good_output_t / installed_capacity_t x 100</t>
        </is>
      </c>
      <c r="AV3" s="3" t="inlineStr">
        <is>
          <t>run_hours / calendar_hours x 100</t>
        </is>
      </c>
      <c r="AW3" s="3" t="inlineStr">
        <is>
          <t>Availability x Performance x Quality = good_output_t / ideal_output_t x 100</t>
        </is>
      </c>
      <c r="AX3" s="3" t="inlineStr">
        <is>
          <t>recovered_contained_t / feed_contained_t x 100</t>
        </is>
      </c>
      <c r="AY3" s="3" t="inlineStr">
        <is>
          <t>good_output_t / feed_input_t x 100</t>
        </is>
      </c>
      <c r="AZ3" s="3" t="inlineStr">
        <is>
          <t>run_hours / failures</t>
        </is>
      </c>
      <c r="BA3" s="3" t="inlineStr">
        <is>
          <t>repair_hours / failures</t>
        </is>
      </c>
      <c r="BB3" s="3" t="inlineStr">
        <is>
          <t>unplanned_downtime_hours</t>
        </is>
      </c>
      <c r="BC3" s="3" t="inlineStr">
        <is>
          <t>prod_loss_downtime_t</t>
        </is>
      </c>
      <c r="BD3" s="3" t="inlineStr">
        <is>
          <t>pm_completed / pm_scheduled x 100</t>
        </is>
      </c>
      <c r="BE3" s="3" t="inlineStr">
        <is>
          <t>(variable_cost_k + fixed_cost_k) x 1000 / good_output_t</t>
        </is>
      </c>
      <c r="BF3" s="3" t="inlineStr">
        <is>
          <t>variable_cost_k</t>
        </is>
      </c>
      <c r="BG3" s="3" t="inlineStr">
        <is>
          <t>fuel_cost_k</t>
        </is>
      </c>
      <c r="BH3" s="3" t="inlineStr">
        <is>
          <t>water_m3</t>
        </is>
      </c>
      <c r="BI3" s="3" t="inlineStr">
        <is>
          <t>emissions_tco2e</t>
        </is>
      </c>
      <c r="BJ3" s="3" t="inlineStr">
        <is>
          <t>energy_gj / good_output_t</t>
        </is>
      </c>
      <c r="BK3" s="3" t="inlineStr">
        <is>
          <t>production_at_risk_t</t>
        </is>
      </c>
      <c r="BL3" s="3" t="inlineStr">
        <is>
          <t>critical_plant_alerts</t>
        </is>
      </c>
      <c r="BM3" s="3" t="inlineStr">
        <is>
          <t>critical_material_risks</t>
        </is>
      </c>
      <c r="BN3" s="3" t="inlineStr">
        <is>
          <t>dispatches_delayed / dispatches_total x 100</t>
        </is>
      </c>
      <c r="BO3" s="3" t="inlineStr">
        <is>
          <t>env_violations</t>
        </is>
      </c>
      <c r="BP3" s="3" t="inlineStr">
        <is>
          <t>recordable_injuries x 200,000 / hours_worked</t>
        </is>
      </c>
      <c r="BQ3" s="3" t="inlineStr">
        <is>
          <t>severity_incidents</t>
        </is>
      </c>
      <c r="BR3" s="3" t="inlineStr">
        <is>
          <t>near_misses</t>
        </is>
      </c>
      <c r="BS3" s="3" t="inlineStr">
        <is>
          <t>critical_safety_incidents</t>
        </is>
      </c>
      <c r="BT3" s="3" t="inlineStr">
        <is>
          <t>env_excursions</t>
        </is>
      </c>
      <c r="BU3" s="3" t="inlineStr">
        <is>
          <t>ehs_ca_open</t>
        </is>
      </c>
      <c r="BV3" s="3" t="inlineStr">
        <is>
          <t>ehs_ca_overdue</t>
        </is>
      </c>
      <c r="BW3" s="3" t="inlineStr">
        <is>
          <t>investigations_completed / investigations_due x 100 (100 if none due)</t>
        </is>
      </c>
      <c r="BX3" s="3" t="inlineStr">
        <is>
          <t>permit_days_to_expiry (MIN across children)</t>
        </is>
      </c>
    </row>
    <row r="4">
      <c r="A4" t="inlineStr">
        <is>
          <t>Group</t>
        </is>
      </c>
      <c r="B4" t="inlineStr">
        <is>
          <t>Entity A1</t>
        </is>
      </c>
      <c r="C4" t="inlineStr">
        <is>
          <t>Plant 01</t>
        </is>
      </c>
      <c r="D4" t="inlineStr">
        <is>
          <t>2026-04</t>
        </is>
      </c>
      <c r="E4" t="n">
        <v>137.1</v>
      </c>
      <c r="F4" t="n">
        <v>720</v>
      </c>
      <c r="G4" t="n">
        <v>714</v>
      </c>
      <c r="H4" t="n">
        <v>692.3</v>
      </c>
      <c r="I4" t="n">
        <v>13.3</v>
      </c>
      <c r="J4" t="n">
        <v>97889</v>
      </c>
      <c r="K4" t="n">
        <v>98712</v>
      </c>
      <c r="L4" t="n">
        <v>88515</v>
      </c>
      <c r="M4" t="n">
        <v>89648</v>
      </c>
      <c r="N4" t="n">
        <v>87087</v>
      </c>
      <c r="O4" t="n">
        <v>95600</v>
      </c>
      <c r="P4" t="n">
        <v>19579</v>
      </c>
      <c r="Q4" t="n">
        <v>17553</v>
      </c>
      <c r="R4" t="n">
        <v>1823</v>
      </c>
      <c r="S4" t="n">
        <v>2</v>
      </c>
      <c r="T4" t="n">
        <v>7.1</v>
      </c>
      <c r="U4" t="n">
        <v>37</v>
      </c>
      <c r="V4" t="n">
        <v>36</v>
      </c>
      <c r="W4" t="n">
        <v>251985.8</v>
      </c>
      <c r="X4" t="n">
        <v>62832</v>
      </c>
      <c r="Y4" t="n">
        <v>1091.7</v>
      </c>
      <c r="Z4" t="n">
        <v>167244</v>
      </c>
      <c r="AA4" t="n">
        <v>61316</v>
      </c>
      <c r="AB4" t="n">
        <v>311042</v>
      </c>
      <c r="AC4" t="n">
        <v>3223</v>
      </c>
      <c r="AD4" t="n">
        <v>1</v>
      </c>
      <c r="AE4" t="n">
        <v>79000</v>
      </c>
      <c r="AF4" t="n">
        <v>0</v>
      </c>
      <c r="AG4" t="n">
        <v>1</v>
      </c>
      <c r="AH4" t="n">
        <v>10</v>
      </c>
      <c r="AI4" t="n">
        <v>0</v>
      </c>
      <c r="AJ4" t="n">
        <v>0</v>
      </c>
      <c r="AK4" t="n">
        <v>0</v>
      </c>
      <c r="AL4" t="n">
        <v>14</v>
      </c>
      <c r="AM4" t="n">
        <v>4</v>
      </c>
      <c r="AN4" t="n">
        <v>0</v>
      </c>
      <c r="AO4" t="n">
        <v>0</v>
      </c>
      <c r="AP4" t="n">
        <v>0</v>
      </c>
      <c r="AQ4" t="n">
        <v>158</v>
      </c>
      <c r="AR4" t="n">
        <v>9</v>
      </c>
      <c r="AS4" t="n">
        <v>311</v>
      </c>
      <c r="AT4">
        <f>ROUND(100*N4/L4,2)</f>
        <v/>
      </c>
      <c r="AU4">
        <f>ROUND(100*N4/K4,2)</f>
        <v/>
      </c>
      <c r="AV4">
        <f>ROUND(100*H4/F4,2)</f>
        <v/>
      </c>
      <c r="AW4">
        <f>ROUND(100*N4/J4,2)</f>
        <v/>
      </c>
      <c r="AX4">
        <f>ROUND(100*Q4/P4,2)</f>
        <v/>
      </c>
      <c r="AY4">
        <f>ROUND(100*N4/O4,2)</f>
        <v/>
      </c>
      <c r="AZ4">
        <f>ROUND(H4/S4,2)</f>
        <v/>
      </c>
      <c r="BA4">
        <f>ROUND(T4/S4,2)</f>
        <v/>
      </c>
      <c r="BB4">
        <f>ROUND(I4,2)</f>
        <v/>
      </c>
      <c r="BC4">
        <f>ROUND(R4,2)</f>
        <v/>
      </c>
      <c r="BD4">
        <f>ROUND(100*V4/U4,2)</f>
        <v/>
      </c>
      <c r="BE4">
        <f>ROUND(1000*(W4+Y4)/N4,2)</f>
        <v/>
      </c>
      <c r="BF4">
        <f>ROUND(W4,2)</f>
        <v/>
      </c>
      <c r="BG4">
        <f>ROUND(X4,2)</f>
        <v/>
      </c>
      <c r="BH4">
        <f>ROUND(Z4,2)</f>
        <v/>
      </c>
      <c r="BI4">
        <f>ROUND(AA4,2)</f>
        <v/>
      </c>
      <c r="BJ4">
        <f>ROUND(AB4/N4,2)</f>
        <v/>
      </c>
      <c r="BK4">
        <f>ROUND(AC4,2)</f>
        <v/>
      </c>
      <c r="BL4">
        <f>ROUND(AD4,2)</f>
        <v/>
      </c>
      <c r="BM4">
        <f>ROUND(AP4,2)</f>
        <v/>
      </c>
      <c r="BN4">
        <f>ROUND(100*AR4/AQ4,2)</f>
        <v/>
      </c>
      <c r="BO4">
        <f>ROUND(AK4,2)</f>
        <v/>
      </c>
      <c r="BP4">
        <f>ROUND(200000*AF4/AE4,2)</f>
        <v/>
      </c>
      <c r="BQ4">
        <f>ROUND(AG4,2)</f>
        <v/>
      </c>
      <c r="BR4">
        <f>ROUND(AH4,2)</f>
        <v/>
      </c>
      <c r="BS4">
        <f>ROUND(AI4,2)</f>
        <v/>
      </c>
      <c r="BT4">
        <f>ROUND(AJ4,2)</f>
        <v/>
      </c>
      <c r="BU4">
        <f>ROUND(AL4,2)</f>
        <v/>
      </c>
      <c r="BV4">
        <f>ROUND(AM4,2)</f>
        <v/>
      </c>
      <c r="BW4">
        <f>ROUND(IF(AN4=0,100,100*AO4/AN4),2)</f>
        <v/>
      </c>
      <c r="BX4">
        <f>ROUND(AS4,2)</f>
        <v/>
      </c>
    </row>
    <row r="5">
      <c r="A5" t="inlineStr">
        <is>
          <t>Group</t>
        </is>
      </c>
      <c r="B5" t="inlineStr">
        <is>
          <t>Entity A1</t>
        </is>
      </c>
      <c r="C5" t="inlineStr">
        <is>
          <t>Plant 01</t>
        </is>
      </c>
      <c r="D5" t="inlineStr">
        <is>
          <t>2026-05</t>
        </is>
      </c>
      <c r="E5" t="n">
        <v>137.1</v>
      </c>
      <c r="F5" t="n">
        <v>744</v>
      </c>
      <c r="G5" t="n">
        <v>744</v>
      </c>
      <c r="H5" t="n">
        <v>702.5</v>
      </c>
      <c r="I5" t="n">
        <v>19.6</v>
      </c>
      <c r="J5" t="n">
        <v>102002</v>
      </c>
      <c r="K5" t="n">
        <v>102002</v>
      </c>
      <c r="L5" t="n">
        <v>88139</v>
      </c>
      <c r="M5" t="n">
        <v>84940</v>
      </c>
      <c r="N5" t="n">
        <v>80872</v>
      </c>
      <c r="O5" t="n">
        <v>86252</v>
      </c>
      <c r="P5" t="n">
        <v>17739</v>
      </c>
      <c r="Q5" t="n">
        <v>15002</v>
      </c>
      <c r="R5" t="n">
        <v>2687</v>
      </c>
      <c r="S5" t="n">
        <v>3</v>
      </c>
      <c r="T5" t="n">
        <v>15.5</v>
      </c>
      <c r="U5" t="n">
        <v>48</v>
      </c>
      <c r="V5" t="n">
        <v>47</v>
      </c>
      <c r="W5" t="n">
        <v>272778.7</v>
      </c>
      <c r="X5" t="n">
        <v>79959.60000000001</v>
      </c>
      <c r="Y5" t="n">
        <v>1465.4</v>
      </c>
      <c r="Z5" t="n">
        <v>205726</v>
      </c>
      <c r="AA5" t="n">
        <v>53724</v>
      </c>
      <c r="AB5" t="n">
        <v>252523</v>
      </c>
      <c r="AC5" t="n">
        <v>5217</v>
      </c>
      <c r="AD5" t="n">
        <v>1</v>
      </c>
      <c r="AE5" t="n">
        <v>66000</v>
      </c>
      <c r="AF5" t="n">
        <v>0</v>
      </c>
      <c r="AG5" t="n">
        <v>0</v>
      </c>
      <c r="AH5" t="n">
        <v>4</v>
      </c>
      <c r="AI5" t="n">
        <v>0</v>
      </c>
      <c r="AJ5" t="n">
        <v>0</v>
      </c>
      <c r="AK5" t="n">
        <v>0</v>
      </c>
      <c r="AL5" t="n">
        <v>11</v>
      </c>
      <c r="AM5" t="n">
        <v>2</v>
      </c>
      <c r="AN5" t="n">
        <v>3</v>
      </c>
      <c r="AO5" t="n">
        <v>3</v>
      </c>
      <c r="AP5" t="n">
        <v>0</v>
      </c>
      <c r="AQ5" t="n">
        <v>256</v>
      </c>
      <c r="AR5" t="n">
        <v>10</v>
      </c>
      <c r="AS5" t="n">
        <v>281</v>
      </c>
      <c r="AT5">
        <f>ROUND(100*N5/L5,2)</f>
        <v/>
      </c>
      <c r="AU5">
        <f>ROUND(100*N5/K5,2)</f>
        <v/>
      </c>
      <c r="AV5">
        <f>ROUND(100*H5/F5,2)</f>
        <v/>
      </c>
      <c r="AW5">
        <f>ROUND(100*N5/J5,2)</f>
        <v/>
      </c>
      <c r="AX5">
        <f>ROUND(100*Q5/P5,2)</f>
        <v/>
      </c>
      <c r="AY5">
        <f>ROUND(100*N5/O5,2)</f>
        <v/>
      </c>
      <c r="AZ5">
        <f>ROUND(H5/S5,2)</f>
        <v/>
      </c>
      <c r="BA5">
        <f>ROUND(T5/S5,2)</f>
        <v/>
      </c>
      <c r="BB5">
        <f>ROUND(I5,2)</f>
        <v/>
      </c>
      <c r="BC5">
        <f>ROUND(R5,2)</f>
        <v/>
      </c>
      <c r="BD5">
        <f>ROUND(100*V5/U5,2)</f>
        <v/>
      </c>
      <c r="BE5">
        <f>ROUND(1000*(W5+Y5)/N5,2)</f>
        <v/>
      </c>
      <c r="BF5">
        <f>ROUND(W5,2)</f>
        <v/>
      </c>
      <c r="BG5">
        <f>ROUND(X5,2)</f>
        <v/>
      </c>
      <c r="BH5">
        <f>ROUND(Z5,2)</f>
        <v/>
      </c>
      <c r="BI5">
        <f>ROUND(AA5,2)</f>
        <v/>
      </c>
      <c r="BJ5">
        <f>ROUND(AB5/N5,2)</f>
        <v/>
      </c>
      <c r="BK5">
        <f>ROUND(AC5,2)</f>
        <v/>
      </c>
      <c r="BL5">
        <f>ROUND(AD5,2)</f>
        <v/>
      </c>
      <c r="BM5">
        <f>ROUND(AP5,2)</f>
        <v/>
      </c>
      <c r="BN5">
        <f>ROUND(100*AR5/AQ5,2)</f>
        <v/>
      </c>
      <c r="BO5">
        <f>ROUND(AK5,2)</f>
        <v/>
      </c>
      <c r="BP5">
        <f>ROUND(200000*AF5/AE5,2)</f>
        <v/>
      </c>
      <c r="BQ5">
        <f>ROUND(AG5,2)</f>
        <v/>
      </c>
      <c r="BR5">
        <f>ROUND(AH5,2)</f>
        <v/>
      </c>
      <c r="BS5">
        <f>ROUND(AI5,2)</f>
        <v/>
      </c>
      <c r="BT5">
        <f>ROUND(AJ5,2)</f>
        <v/>
      </c>
      <c r="BU5">
        <f>ROUND(AL5,2)</f>
        <v/>
      </c>
      <c r="BV5">
        <f>ROUND(AM5,2)</f>
        <v/>
      </c>
      <c r="BW5">
        <f>ROUND(IF(AN5=0,100,100*AO5/AN5),2)</f>
        <v/>
      </c>
      <c r="BX5">
        <f>ROUND(AS5,2)</f>
        <v/>
      </c>
    </row>
    <row r="6">
      <c r="A6" t="inlineStr">
        <is>
          <t>Group</t>
        </is>
      </c>
      <c r="B6" t="inlineStr">
        <is>
          <t>Entity A1</t>
        </is>
      </c>
      <c r="C6" t="inlineStr">
        <is>
          <t>Plant 01</t>
        </is>
      </c>
      <c r="D6" t="inlineStr">
        <is>
          <t>2026-06</t>
        </is>
      </c>
      <c r="E6" t="n">
        <v>137.1</v>
      </c>
      <c r="F6" t="n">
        <v>720</v>
      </c>
      <c r="G6" t="n">
        <v>720</v>
      </c>
      <c r="H6" t="n">
        <v>681.5</v>
      </c>
      <c r="I6" t="n">
        <v>18.6</v>
      </c>
      <c r="J6" t="n">
        <v>98712</v>
      </c>
      <c r="K6" t="n">
        <v>98712</v>
      </c>
      <c r="L6" t="n">
        <v>88801</v>
      </c>
      <c r="M6" t="n">
        <v>84328</v>
      </c>
      <c r="N6" t="n">
        <v>81129</v>
      </c>
      <c r="O6" t="n">
        <v>86263</v>
      </c>
      <c r="P6" t="n">
        <v>18895</v>
      </c>
      <c r="Q6" t="n">
        <v>16380</v>
      </c>
      <c r="R6" t="n">
        <v>2550</v>
      </c>
      <c r="S6" t="n">
        <v>2</v>
      </c>
      <c r="T6" t="n">
        <v>14.7</v>
      </c>
      <c r="U6" t="n">
        <v>48</v>
      </c>
      <c r="V6" t="n">
        <v>45</v>
      </c>
      <c r="W6" t="n">
        <v>269800.1</v>
      </c>
      <c r="X6" t="n">
        <v>63241.6</v>
      </c>
      <c r="Y6" t="n">
        <v>1103.4</v>
      </c>
      <c r="Z6" t="n">
        <v>166424</v>
      </c>
      <c r="AA6" t="n">
        <v>60010</v>
      </c>
      <c r="AB6" t="n">
        <v>243788</v>
      </c>
      <c r="AC6" t="n">
        <v>7297</v>
      </c>
      <c r="AD6" t="n">
        <v>2</v>
      </c>
      <c r="AE6" t="n">
        <v>91000</v>
      </c>
      <c r="AF6" t="n">
        <v>1</v>
      </c>
      <c r="AG6" t="n">
        <v>0</v>
      </c>
      <c r="AH6" t="n">
        <v>10</v>
      </c>
      <c r="AI6" t="n">
        <v>0</v>
      </c>
      <c r="AJ6" t="n">
        <v>1</v>
      </c>
      <c r="AK6" t="n">
        <v>0</v>
      </c>
      <c r="AL6" t="n">
        <v>5</v>
      </c>
      <c r="AM6" t="n">
        <v>1</v>
      </c>
      <c r="AN6" t="n">
        <v>0</v>
      </c>
      <c r="AO6" t="n">
        <v>0</v>
      </c>
      <c r="AP6" t="n">
        <v>0</v>
      </c>
      <c r="AQ6" t="n">
        <v>148</v>
      </c>
      <c r="AR6" t="n">
        <v>11</v>
      </c>
      <c r="AS6" t="n">
        <v>251</v>
      </c>
      <c r="AT6">
        <f>ROUND(100*N6/L6,2)</f>
        <v/>
      </c>
      <c r="AU6">
        <f>ROUND(100*N6/K6,2)</f>
        <v/>
      </c>
      <c r="AV6">
        <f>ROUND(100*H6/F6,2)</f>
        <v/>
      </c>
      <c r="AW6">
        <f>ROUND(100*N6/J6,2)</f>
        <v/>
      </c>
      <c r="AX6">
        <f>ROUND(100*Q6/P6,2)</f>
        <v/>
      </c>
      <c r="AY6">
        <f>ROUND(100*N6/O6,2)</f>
        <v/>
      </c>
      <c r="AZ6">
        <f>ROUND(H6/S6,2)</f>
        <v/>
      </c>
      <c r="BA6">
        <f>ROUND(T6/S6,2)</f>
        <v/>
      </c>
      <c r="BB6">
        <f>ROUND(I6,2)</f>
        <v/>
      </c>
      <c r="BC6">
        <f>ROUND(R6,2)</f>
        <v/>
      </c>
      <c r="BD6">
        <f>ROUND(100*V6/U6,2)</f>
        <v/>
      </c>
      <c r="BE6">
        <f>ROUND(1000*(W6+Y6)/N6,2)</f>
        <v/>
      </c>
      <c r="BF6">
        <f>ROUND(W6,2)</f>
        <v/>
      </c>
      <c r="BG6">
        <f>ROUND(X6,2)</f>
        <v/>
      </c>
      <c r="BH6">
        <f>ROUND(Z6,2)</f>
        <v/>
      </c>
      <c r="BI6">
        <f>ROUND(AA6,2)</f>
        <v/>
      </c>
      <c r="BJ6">
        <f>ROUND(AB6/N6,2)</f>
        <v/>
      </c>
      <c r="BK6">
        <f>ROUND(AC6,2)</f>
        <v/>
      </c>
      <c r="BL6">
        <f>ROUND(AD6,2)</f>
        <v/>
      </c>
      <c r="BM6">
        <f>ROUND(AP6,2)</f>
        <v/>
      </c>
      <c r="BN6">
        <f>ROUND(100*AR6/AQ6,2)</f>
        <v/>
      </c>
      <c r="BO6">
        <f>ROUND(AK6,2)</f>
        <v/>
      </c>
      <c r="BP6">
        <f>ROUND(200000*AF6/AE6,2)</f>
        <v/>
      </c>
      <c r="BQ6">
        <f>ROUND(AG6,2)</f>
        <v/>
      </c>
      <c r="BR6">
        <f>ROUND(AH6,2)</f>
        <v/>
      </c>
      <c r="BS6">
        <f>ROUND(AI6,2)</f>
        <v/>
      </c>
      <c r="BT6">
        <f>ROUND(AJ6,2)</f>
        <v/>
      </c>
      <c r="BU6">
        <f>ROUND(AL6,2)</f>
        <v/>
      </c>
      <c r="BV6">
        <f>ROUND(AM6,2)</f>
        <v/>
      </c>
      <c r="BW6">
        <f>ROUND(IF(AN6=0,100,100*AO6/AN6),2)</f>
        <v/>
      </c>
      <c r="BX6">
        <f>ROUND(AS6,2)</f>
        <v/>
      </c>
    </row>
    <row r="7">
      <c r="A7" t="inlineStr">
        <is>
          <t>Group</t>
        </is>
      </c>
      <c r="B7" t="inlineStr">
        <is>
          <t>Entity A1</t>
        </is>
      </c>
      <c r="C7" t="inlineStr">
        <is>
          <t>Plant 01</t>
        </is>
      </c>
      <c r="D7" t="inlineStr">
        <is>
          <t>2026-07</t>
        </is>
      </c>
      <c r="E7" t="n">
        <v>137.1</v>
      </c>
      <c r="F7" t="n">
        <v>744</v>
      </c>
      <c r="G7" t="n">
        <v>741</v>
      </c>
      <c r="H7" t="n">
        <v>701.6</v>
      </c>
      <c r="I7" t="n">
        <v>27.2</v>
      </c>
      <c r="J7" t="n">
        <v>101591</v>
      </c>
      <c r="K7" t="n">
        <v>102002</v>
      </c>
      <c r="L7" t="n">
        <v>88152</v>
      </c>
      <c r="M7" t="n">
        <v>86711</v>
      </c>
      <c r="N7" t="n">
        <v>83254</v>
      </c>
      <c r="O7" t="n">
        <v>94209</v>
      </c>
      <c r="P7" t="n">
        <v>21264</v>
      </c>
      <c r="Q7" t="n">
        <v>19441</v>
      </c>
      <c r="R7" t="n">
        <v>3729</v>
      </c>
      <c r="S7" t="n">
        <v>4</v>
      </c>
      <c r="T7" t="n">
        <v>21.3</v>
      </c>
      <c r="U7" t="n">
        <v>55</v>
      </c>
      <c r="V7" t="n">
        <v>52</v>
      </c>
      <c r="W7" t="n">
        <v>221284.2</v>
      </c>
      <c r="X7" t="n">
        <v>64810.6</v>
      </c>
      <c r="Y7" t="n">
        <v>1144.9</v>
      </c>
      <c r="Z7" t="n">
        <v>180484</v>
      </c>
      <c r="AA7" t="n">
        <v>54600</v>
      </c>
      <c r="AB7" t="n">
        <v>243753</v>
      </c>
      <c r="AC7" t="n">
        <v>5312</v>
      </c>
      <c r="AD7" t="n">
        <v>0</v>
      </c>
      <c r="AE7" t="n">
        <v>76000</v>
      </c>
      <c r="AF7" t="n">
        <v>1</v>
      </c>
      <c r="AG7" t="n">
        <v>0</v>
      </c>
      <c r="AH7" t="n">
        <v>9</v>
      </c>
      <c r="AI7" t="n">
        <v>0</v>
      </c>
      <c r="AJ7" t="n">
        <v>1</v>
      </c>
      <c r="AK7" t="n">
        <v>0</v>
      </c>
      <c r="AL7" t="n">
        <v>4</v>
      </c>
      <c r="AM7" t="n">
        <v>1</v>
      </c>
      <c r="AN7" t="n">
        <v>3</v>
      </c>
      <c r="AO7" t="n">
        <v>3</v>
      </c>
      <c r="AP7" t="n">
        <v>1</v>
      </c>
      <c r="AQ7" t="n">
        <v>198</v>
      </c>
      <c r="AR7" t="n">
        <v>9</v>
      </c>
      <c r="AS7" t="n">
        <v>221</v>
      </c>
      <c r="AT7">
        <f>ROUND(100*N7/L7,2)</f>
        <v/>
      </c>
      <c r="AU7">
        <f>ROUND(100*N7/K7,2)</f>
        <v/>
      </c>
      <c r="AV7">
        <f>ROUND(100*H7/F7,2)</f>
        <v/>
      </c>
      <c r="AW7">
        <f>ROUND(100*N7/J7,2)</f>
        <v/>
      </c>
      <c r="AX7">
        <f>ROUND(100*Q7/P7,2)</f>
        <v/>
      </c>
      <c r="AY7">
        <f>ROUND(100*N7/O7,2)</f>
        <v/>
      </c>
      <c r="AZ7">
        <f>ROUND(H7/S7,2)</f>
        <v/>
      </c>
      <c r="BA7">
        <f>ROUND(T7/S7,2)</f>
        <v/>
      </c>
      <c r="BB7">
        <f>ROUND(I7,2)</f>
        <v/>
      </c>
      <c r="BC7">
        <f>ROUND(R7,2)</f>
        <v/>
      </c>
      <c r="BD7">
        <f>ROUND(100*V7/U7,2)</f>
        <v/>
      </c>
      <c r="BE7">
        <f>ROUND(1000*(W7+Y7)/N7,2)</f>
        <v/>
      </c>
      <c r="BF7">
        <f>ROUND(W7,2)</f>
        <v/>
      </c>
      <c r="BG7">
        <f>ROUND(X7,2)</f>
        <v/>
      </c>
      <c r="BH7">
        <f>ROUND(Z7,2)</f>
        <v/>
      </c>
      <c r="BI7">
        <f>ROUND(AA7,2)</f>
        <v/>
      </c>
      <c r="BJ7">
        <f>ROUND(AB7/N7,2)</f>
        <v/>
      </c>
      <c r="BK7">
        <f>ROUND(AC7,2)</f>
        <v/>
      </c>
      <c r="BL7">
        <f>ROUND(AD7,2)</f>
        <v/>
      </c>
      <c r="BM7">
        <f>ROUND(AP7,2)</f>
        <v/>
      </c>
      <c r="BN7">
        <f>ROUND(100*AR7/AQ7,2)</f>
        <v/>
      </c>
      <c r="BO7">
        <f>ROUND(AK7,2)</f>
        <v/>
      </c>
      <c r="BP7">
        <f>ROUND(200000*AF7/AE7,2)</f>
        <v/>
      </c>
      <c r="BQ7">
        <f>ROUND(AG7,2)</f>
        <v/>
      </c>
      <c r="BR7">
        <f>ROUND(AH7,2)</f>
        <v/>
      </c>
      <c r="BS7">
        <f>ROUND(AI7,2)</f>
        <v/>
      </c>
      <c r="BT7">
        <f>ROUND(AJ7,2)</f>
        <v/>
      </c>
      <c r="BU7">
        <f>ROUND(AL7,2)</f>
        <v/>
      </c>
      <c r="BV7">
        <f>ROUND(AM7,2)</f>
        <v/>
      </c>
      <c r="BW7">
        <f>ROUND(IF(AN7=0,100,100*AO7/AN7),2)</f>
        <v/>
      </c>
      <c r="BX7">
        <f>ROUND(AS7,2)</f>
        <v/>
      </c>
    </row>
    <row r="8">
      <c r="A8" t="inlineStr">
        <is>
          <t>Group</t>
        </is>
      </c>
      <c r="B8" t="inlineStr">
        <is>
          <t>Entity A1</t>
        </is>
      </c>
      <c r="C8" t="inlineStr">
        <is>
          <t>Plant 01</t>
        </is>
      </c>
      <c r="D8" t="inlineStr">
        <is>
          <t>2026-08</t>
        </is>
      </c>
      <c r="E8" t="n">
        <v>137.1</v>
      </c>
      <c r="F8" t="n">
        <v>744</v>
      </c>
      <c r="G8" t="n">
        <v>744</v>
      </c>
      <c r="H8" t="n">
        <v>710.7</v>
      </c>
      <c r="I8" t="n">
        <v>19.1</v>
      </c>
      <c r="J8" t="n">
        <v>102002</v>
      </c>
      <c r="K8" t="n">
        <v>102002</v>
      </c>
      <c r="L8" t="n">
        <v>91424</v>
      </c>
      <c r="M8" t="n">
        <v>90032</v>
      </c>
      <c r="N8" t="n">
        <v>87527</v>
      </c>
      <c r="O8" t="n">
        <v>94670</v>
      </c>
      <c r="P8" t="n">
        <v>19426</v>
      </c>
      <c r="Q8" t="n">
        <v>17234</v>
      </c>
      <c r="R8" t="n">
        <v>2619</v>
      </c>
      <c r="S8" t="n">
        <v>2</v>
      </c>
      <c r="T8" t="n">
        <v>14</v>
      </c>
      <c r="U8" t="n">
        <v>32</v>
      </c>
      <c r="V8" t="n">
        <v>31</v>
      </c>
      <c r="W8" t="n">
        <v>268254.7</v>
      </c>
      <c r="X8" t="n">
        <v>78893.89999999999</v>
      </c>
      <c r="Y8" t="n">
        <v>1065.3</v>
      </c>
      <c r="Z8" t="n">
        <v>192091</v>
      </c>
      <c r="AA8" t="n">
        <v>54889</v>
      </c>
      <c r="AB8" t="n">
        <v>306311</v>
      </c>
      <c r="AC8" t="n">
        <v>1480</v>
      </c>
      <c r="AD8" t="n">
        <v>2</v>
      </c>
      <c r="AE8" t="n">
        <v>56000</v>
      </c>
      <c r="AF8" t="n">
        <v>1</v>
      </c>
      <c r="AG8" t="n">
        <v>0</v>
      </c>
      <c r="AH8" t="n">
        <v>6</v>
      </c>
      <c r="AI8" t="n">
        <v>0</v>
      </c>
      <c r="AJ8" t="n">
        <v>0</v>
      </c>
      <c r="AK8" t="n">
        <v>0</v>
      </c>
      <c r="AL8" t="n">
        <v>5</v>
      </c>
      <c r="AM8" t="n">
        <v>0</v>
      </c>
      <c r="AN8" t="n">
        <v>1</v>
      </c>
      <c r="AO8" t="n">
        <v>1</v>
      </c>
      <c r="AP8" t="n">
        <v>2</v>
      </c>
      <c r="AQ8" t="n">
        <v>121</v>
      </c>
      <c r="AR8" t="n">
        <v>10</v>
      </c>
      <c r="AS8" t="n">
        <v>191</v>
      </c>
      <c r="AT8">
        <f>ROUND(100*N8/L8,2)</f>
        <v/>
      </c>
      <c r="AU8">
        <f>ROUND(100*N8/K8,2)</f>
        <v/>
      </c>
      <c r="AV8">
        <f>ROUND(100*H8/F8,2)</f>
        <v/>
      </c>
      <c r="AW8">
        <f>ROUND(100*N8/J8,2)</f>
        <v/>
      </c>
      <c r="AX8">
        <f>ROUND(100*Q8/P8,2)</f>
        <v/>
      </c>
      <c r="AY8">
        <f>ROUND(100*N8/O8,2)</f>
        <v/>
      </c>
      <c r="AZ8">
        <f>ROUND(H8/S8,2)</f>
        <v/>
      </c>
      <c r="BA8">
        <f>ROUND(T8/S8,2)</f>
        <v/>
      </c>
      <c r="BB8">
        <f>ROUND(I8,2)</f>
        <v/>
      </c>
      <c r="BC8">
        <f>ROUND(R8,2)</f>
        <v/>
      </c>
      <c r="BD8">
        <f>ROUND(100*V8/U8,2)</f>
        <v/>
      </c>
      <c r="BE8">
        <f>ROUND(1000*(W8+Y8)/N8,2)</f>
        <v/>
      </c>
      <c r="BF8">
        <f>ROUND(W8,2)</f>
        <v/>
      </c>
      <c r="BG8">
        <f>ROUND(X8,2)</f>
        <v/>
      </c>
      <c r="BH8">
        <f>ROUND(Z8,2)</f>
        <v/>
      </c>
      <c r="BI8">
        <f>ROUND(AA8,2)</f>
        <v/>
      </c>
      <c r="BJ8">
        <f>ROUND(AB8/N8,2)</f>
        <v/>
      </c>
      <c r="BK8">
        <f>ROUND(AC8,2)</f>
        <v/>
      </c>
      <c r="BL8">
        <f>ROUND(AD8,2)</f>
        <v/>
      </c>
      <c r="BM8">
        <f>ROUND(AP8,2)</f>
        <v/>
      </c>
      <c r="BN8">
        <f>ROUND(100*AR8/AQ8,2)</f>
        <v/>
      </c>
      <c r="BO8">
        <f>ROUND(AK8,2)</f>
        <v/>
      </c>
      <c r="BP8">
        <f>ROUND(200000*AF8/AE8,2)</f>
        <v/>
      </c>
      <c r="BQ8">
        <f>ROUND(AG8,2)</f>
        <v/>
      </c>
      <c r="BR8">
        <f>ROUND(AH8,2)</f>
        <v/>
      </c>
      <c r="BS8">
        <f>ROUND(AI8,2)</f>
        <v/>
      </c>
      <c r="BT8">
        <f>ROUND(AJ8,2)</f>
        <v/>
      </c>
      <c r="BU8">
        <f>ROUND(AL8,2)</f>
        <v/>
      </c>
      <c r="BV8">
        <f>ROUND(AM8,2)</f>
        <v/>
      </c>
      <c r="BW8">
        <f>ROUND(IF(AN8=0,100,100*AO8/AN8),2)</f>
        <v/>
      </c>
      <c r="BX8">
        <f>ROUND(AS8,2)</f>
        <v/>
      </c>
    </row>
    <row r="9">
      <c r="A9" t="inlineStr">
        <is>
          <t>Group</t>
        </is>
      </c>
      <c r="B9" t="inlineStr">
        <is>
          <t>Entity A1</t>
        </is>
      </c>
      <c r="C9" t="inlineStr">
        <is>
          <t>Plant 01</t>
        </is>
      </c>
      <c r="D9" t="inlineStr">
        <is>
          <t>2026-09</t>
        </is>
      </c>
      <c r="E9" t="n">
        <v>137.1</v>
      </c>
      <c r="F9" t="n">
        <v>720</v>
      </c>
      <c r="G9" t="n">
        <v>711</v>
      </c>
      <c r="H9" t="n">
        <v>664.5</v>
      </c>
      <c r="I9" t="n">
        <v>30.2</v>
      </c>
      <c r="J9" t="n">
        <v>97478</v>
      </c>
      <c r="K9" t="n">
        <v>98712</v>
      </c>
      <c r="L9" t="n">
        <v>85234</v>
      </c>
      <c r="M9" t="n">
        <v>84182</v>
      </c>
      <c r="N9" t="n">
        <v>81854</v>
      </c>
      <c r="O9" t="n">
        <v>89479</v>
      </c>
      <c r="P9" t="n">
        <v>19996</v>
      </c>
      <c r="Q9" t="n">
        <v>18334</v>
      </c>
      <c r="R9" t="n">
        <v>4140</v>
      </c>
      <c r="S9" t="n">
        <v>4</v>
      </c>
      <c r="T9" t="n">
        <v>21.6</v>
      </c>
      <c r="U9" t="n">
        <v>46</v>
      </c>
      <c r="V9" t="n">
        <v>43</v>
      </c>
      <c r="W9" t="n">
        <v>226098.2</v>
      </c>
      <c r="X9" t="n">
        <v>50616</v>
      </c>
      <c r="Y9" t="n">
        <v>1375.5</v>
      </c>
      <c r="Z9" t="n">
        <v>148807</v>
      </c>
      <c r="AA9" t="n">
        <v>59115</v>
      </c>
      <c r="AB9" t="n">
        <v>289576</v>
      </c>
      <c r="AC9" t="n">
        <v>3669</v>
      </c>
      <c r="AD9" t="n">
        <v>0</v>
      </c>
      <c r="AE9" t="n">
        <v>55000</v>
      </c>
      <c r="AF9" t="n">
        <v>0</v>
      </c>
      <c r="AG9" t="n">
        <v>1</v>
      </c>
      <c r="AH9" t="n">
        <v>9</v>
      </c>
      <c r="AI9" t="n">
        <v>0</v>
      </c>
      <c r="AJ9" t="n">
        <v>0</v>
      </c>
      <c r="AK9" t="n">
        <v>0</v>
      </c>
      <c r="AL9" t="n">
        <v>14</v>
      </c>
      <c r="AM9" t="n">
        <v>4</v>
      </c>
      <c r="AN9" t="n">
        <v>2</v>
      </c>
      <c r="AO9" t="n">
        <v>2</v>
      </c>
      <c r="AP9" t="n">
        <v>2</v>
      </c>
      <c r="AQ9" t="n">
        <v>120</v>
      </c>
      <c r="AR9" t="n">
        <v>9</v>
      </c>
      <c r="AS9" t="n">
        <v>161</v>
      </c>
      <c r="AT9">
        <f>ROUND(100*N9/L9,2)</f>
        <v/>
      </c>
      <c r="AU9">
        <f>ROUND(100*N9/K9,2)</f>
        <v/>
      </c>
      <c r="AV9">
        <f>ROUND(100*H9/F9,2)</f>
        <v/>
      </c>
      <c r="AW9">
        <f>ROUND(100*N9/J9,2)</f>
        <v/>
      </c>
      <c r="AX9">
        <f>ROUND(100*Q9/P9,2)</f>
        <v/>
      </c>
      <c r="AY9">
        <f>ROUND(100*N9/O9,2)</f>
        <v/>
      </c>
      <c r="AZ9">
        <f>ROUND(H9/S9,2)</f>
        <v/>
      </c>
      <c r="BA9">
        <f>ROUND(T9/S9,2)</f>
        <v/>
      </c>
      <c r="BB9">
        <f>ROUND(I9,2)</f>
        <v/>
      </c>
      <c r="BC9">
        <f>ROUND(R9,2)</f>
        <v/>
      </c>
      <c r="BD9">
        <f>ROUND(100*V9/U9,2)</f>
        <v/>
      </c>
      <c r="BE9">
        <f>ROUND(1000*(W9+Y9)/N9,2)</f>
        <v/>
      </c>
      <c r="BF9">
        <f>ROUND(W9,2)</f>
        <v/>
      </c>
      <c r="BG9">
        <f>ROUND(X9,2)</f>
        <v/>
      </c>
      <c r="BH9">
        <f>ROUND(Z9,2)</f>
        <v/>
      </c>
      <c r="BI9">
        <f>ROUND(AA9,2)</f>
        <v/>
      </c>
      <c r="BJ9">
        <f>ROUND(AB9/N9,2)</f>
        <v/>
      </c>
      <c r="BK9">
        <f>ROUND(AC9,2)</f>
        <v/>
      </c>
      <c r="BL9">
        <f>ROUND(AD9,2)</f>
        <v/>
      </c>
      <c r="BM9">
        <f>ROUND(AP9,2)</f>
        <v/>
      </c>
      <c r="BN9">
        <f>ROUND(100*AR9/AQ9,2)</f>
        <v/>
      </c>
      <c r="BO9">
        <f>ROUND(AK9,2)</f>
        <v/>
      </c>
      <c r="BP9">
        <f>ROUND(200000*AF9/AE9,2)</f>
        <v/>
      </c>
      <c r="BQ9">
        <f>ROUND(AG9,2)</f>
        <v/>
      </c>
      <c r="BR9">
        <f>ROUND(AH9,2)</f>
        <v/>
      </c>
      <c r="BS9">
        <f>ROUND(AI9,2)</f>
        <v/>
      </c>
      <c r="BT9">
        <f>ROUND(AJ9,2)</f>
        <v/>
      </c>
      <c r="BU9">
        <f>ROUND(AL9,2)</f>
        <v/>
      </c>
      <c r="BV9">
        <f>ROUND(AM9,2)</f>
        <v/>
      </c>
      <c r="BW9">
        <f>ROUND(IF(AN9=0,100,100*AO9/AN9),2)</f>
        <v/>
      </c>
      <c r="BX9">
        <f>ROUND(AS9,2)</f>
        <v/>
      </c>
    </row>
    <row r="10">
      <c r="A10" t="inlineStr">
        <is>
          <t>Group</t>
        </is>
      </c>
      <c r="B10" t="inlineStr">
        <is>
          <t>Entity A1</t>
        </is>
      </c>
      <c r="C10" t="inlineStr">
        <is>
          <t>Plant 02</t>
        </is>
      </c>
      <c r="D10" t="inlineStr">
        <is>
          <t>2026-04</t>
        </is>
      </c>
      <c r="E10" t="n">
        <v>188.9</v>
      </c>
      <c r="F10" t="n">
        <v>720</v>
      </c>
      <c r="G10" t="n">
        <v>718</v>
      </c>
      <c r="H10" t="n">
        <v>675.1</v>
      </c>
      <c r="I10" t="n">
        <v>31</v>
      </c>
      <c r="J10" t="n">
        <v>135630</v>
      </c>
      <c r="K10" t="n">
        <v>136008</v>
      </c>
      <c r="L10" t="n">
        <v>117160</v>
      </c>
      <c r="M10" t="n">
        <v>101595</v>
      </c>
      <c r="N10" t="n">
        <v>98478</v>
      </c>
      <c r="O10" t="n">
        <v>110890</v>
      </c>
      <c r="P10" t="n">
        <v>24227</v>
      </c>
      <c r="Q10" t="n">
        <v>19946</v>
      </c>
      <c r="R10" t="n">
        <v>5856</v>
      </c>
      <c r="S10" t="n">
        <v>5</v>
      </c>
      <c r="T10" t="n">
        <v>28.6</v>
      </c>
      <c r="U10" t="n">
        <v>40</v>
      </c>
      <c r="V10" t="n">
        <v>34</v>
      </c>
      <c r="W10" t="n">
        <v>293950</v>
      </c>
      <c r="X10" t="n">
        <v>67780.39999999999</v>
      </c>
      <c r="Y10" t="n">
        <v>1112.1</v>
      </c>
      <c r="Z10" t="n">
        <v>202909</v>
      </c>
      <c r="AA10" t="n">
        <v>69227</v>
      </c>
      <c r="AB10" t="n">
        <v>349419</v>
      </c>
      <c r="AC10" t="n">
        <v>17173</v>
      </c>
      <c r="AD10" t="n">
        <v>2</v>
      </c>
      <c r="AE10" t="n">
        <v>61000</v>
      </c>
      <c r="AF10" t="n">
        <v>0</v>
      </c>
      <c r="AG10" t="n">
        <v>0</v>
      </c>
      <c r="AH10" t="n">
        <v>6</v>
      </c>
      <c r="AI10" t="n">
        <v>0</v>
      </c>
      <c r="AJ10" t="n">
        <v>0</v>
      </c>
      <c r="AK10" t="n">
        <v>0</v>
      </c>
      <c r="AL10" t="n">
        <v>6</v>
      </c>
      <c r="AM10" t="n">
        <v>2</v>
      </c>
      <c r="AN10" t="n">
        <v>3</v>
      </c>
      <c r="AO10" t="n">
        <v>3</v>
      </c>
      <c r="AP10" t="n">
        <v>1</v>
      </c>
      <c r="AQ10" t="n">
        <v>187</v>
      </c>
      <c r="AR10" t="n">
        <v>11</v>
      </c>
      <c r="AS10" t="n">
        <v>215</v>
      </c>
      <c r="AT10">
        <f>ROUND(100*N10/L10,2)</f>
        <v/>
      </c>
      <c r="AU10">
        <f>ROUND(100*N10/K10,2)</f>
        <v/>
      </c>
      <c r="AV10">
        <f>ROUND(100*H10/F10,2)</f>
        <v/>
      </c>
      <c r="AW10">
        <f>ROUND(100*N10/J10,2)</f>
        <v/>
      </c>
      <c r="AX10">
        <f>ROUND(100*Q10/P10,2)</f>
        <v/>
      </c>
      <c r="AY10">
        <f>ROUND(100*N10/O10,2)</f>
        <v/>
      </c>
      <c r="AZ10">
        <f>ROUND(H10/S10,2)</f>
        <v/>
      </c>
      <c r="BA10">
        <f>ROUND(T10/S10,2)</f>
        <v/>
      </c>
      <c r="BB10">
        <f>ROUND(I10,2)</f>
        <v/>
      </c>
      <c r="BC10">
        <f>ROUND(R10,2)</f>
        <v/>
      </c>
      <c r="BD10">
        <f>ROUND(100*V10/U10,2)</f>
        <v/>
      </c>
      <c r="BE10">
        <f>ROUND(1000*(W10+Y10)/N10,2)</f>
        <v/>
      </c>
      <c r="BF10">
        <f>ROUND(W10,2)</f>
        <v/>
      </c>
      <c r="BG10">
        <f>ROUND(X10,2)</f>
        <v/>
      </c>
      <c r="BH10">
        <f>ROUND(Z10,2)</f>
        <v/>
      </c>
      <c r="BI10">
        <f>ROUND(AA10,2)</f>
        <v/>
      </c>
      <c r="BJ10">
        <f>ROUND(AB10/N10,2)</f>
        <v/>
      </c>
      <c r="BK10">
        <f>ROUND(AC10,2)</f>
        <v/>
      </c>
      <c r="BL10">
        <f>ROUND(AD10,2)</f>
        <v/>
      </c>
      <c r="BM10">
        <f>ROUND(AP10,2)</f>
        <v/>
      </c>
      <c r="BN10">
        <f>ROUND(100*AR10/AQ10,2)</f>
        <v/>
      </c>
      <c r="BO10">
        <f>ROUND(AK10,2)</f>
        <v/>
      </c>
      <c r="BP10">
        <f>ROUND(200000*AF10/AE10,2)</f>
        <v/>
      </c>
      <c r="BQ10">
        <f>ROUND(AG10,2)</f>
        <v/>
      </c>
      <c r="BR10">
        <f>ROUND(AH10,2)</f>
        <v/>
      </c>
      <c r="BS10">
        <f>ROUND(AI10,2)</f>
        <v/>
      </c>
      <c r="BT10">
        <f>ROUND(AJ10,2)</f>
        <v/>
      </c>
      <c r="BU10">
        <f>ROUND(AL10,2)</f>
        <v/>
      </c>
      <c r="BV10">
        <f>ROUND(AM10,2)</f>
        <v/>
      </c>
      <c r="BW10">
        <f>ROUND(IF(AN10=0,100,100*AO10/AN10),2)</f>
        <v/>
      </c>
      <c r="BX10">
        <f>ROUND(AS10,2)</f>
        <v/>
      </c>
    </row>
    <row r="11">
      <c r="A11" t="inlineStr">
        <is>
          <t>Group</t>
        </is>
      </c>
      <c r="B11" t="inlineStr">
        <is>
          <t>Entity A1</t>
        </is>
      </c>
      <c r="C11" t="inlineStr">
        <is>
          <t>Plant 02</t>
        </is>
      </c>
      <c r="D11" t="inlineStr">
        <is>
          <t>2026-05</t>
        </is>
      </c>
      <c r="E11" t="n">
        <v>188.9</v>
      </c>
      <c r="F11" t="n">
        <v>744</v>
      </c>
      <c r="G11" t="n">
        <v>690</v>
      </c>
      <c r="H11" t="n">
        <v>630.7</v>
      </c>
      <c r="I11" t="n">
        <v>45.8</v>
      </c>
      <c r="J11" t="n">
        <v>130341</v>
      </c>
      <c r="K11" t="n">
        <v>140542</v>
      </c>
      <c r="L11" t="n">
        <v>118660</v>
      </c>
      <c r="M11" t="n">
        <v>98372</v>
      </c>
      <c r="N11" t="n">
        <v>96839</v>
      </c>
      <c r="O11" t="n">
        <v>102676</v>
      </c>
      <c r="P11" t="n">
        <v>19541</v>
      </c>
      <c r="Q11" t="n">
        <v>16926</v>
      </c>
      <c r="R11" t="n">
        <v>8652</v>
      </c>
      <c r="S11" t="n">
        <v>5</v>
      </c>
      <c r="T11" t="n">
        <v>40.5</v>
      </c>
      <c r="U11" t="n">
        <v>44</v>
      </c>
      <c r="V11" t="n">
        <v>33</v>
      </c>
      <c r="W11" t="n">
        <v>350205.1</v>
      </c>
      <c r="X11" t="n">
        <v>97181.8</v>
      </c>
      <c r="Y11" t="n">
        <v>1212.1</v>
      </c>
      <c r="Z11" t="n">
        <v>176546</v>
      </c>
      <c r="AA11" t="n">
        <v>62330</v>
      </c>
      <c r="AB11" t="n">
        <v>375349</v>
      </c>
      <c r="AC11" t="n">
        <v>20499</v>
      </c>
      <c r="AD11" t="n">
        <v>4</v>
      </c>
      <c r="AE11" t="n">
        <v>69000</v>
      </c>
      <c r="AF11" t="n">
        <v>1</v>
      </c>
      <c r="AG11" t="n">
        <v>0</v>
      </c>
      <c r="AH11" t="n">
        <v>4</v>
      </c>
      <c r="AI11" t="n">
        <v>0</v>
      </c>
      <c r="AJ11" t="n">
        <v>0</v>
      </c>
      <c r="AK11" t="n">
        <v>0</v>
      </c>
      <c r="AL11" t="n">
        <v>5</v>
      </c>
      <c r="AM11" t="n">
        <v>1</v>
      </c>
      <c r="AN11" t="n">
        <v>0</v>
      </c>
      <c r="AO11" t="n">
        <v>0</v>
      </c>
      <c r="AP11" t="n">
        <v>0</v>
      </c>
      <c r="AQ11" t="n">
        <v>197</v>
      </c>
      <c r="AR11" t="n">
        <v>21</v>
      </c>
      <c r="AS11" t="n">
        <v>185</v>
      </c>
      <c r="AT11">
        <f>ROUND(100*N11/L11,2)</f>
        <v/>
      </c>
      <c r="AU11">
        <f>ROUND(100*N11/K11,2)</f>
        <v/>
      </c>
      <c r="AV11">
        <f>ROUND(100*H11/F11,2)</f>
        <v/>
      </c>
      <c r="AW11">
        <f>ROUND(100*N11/J11,2)</f>
        <v/>
      </c>
      <c r="AX11">
        <f>ROUND(100*Q11/P11,2)</f>
        <v/>
      </c>
      <c r="AY11">
        <f>ROUND(100*N11/O11,2)</f>
        <v/>
      </c>
      <c r="AZ11">
        <f>ROUND(H11/S11,2)</f>
        <v/>
      </c>
      <c r="BA11">
        <f>ROUND(T11/S11,2)</f>
        <v/>
      </c>
      <c r="BB11">
        <f>ROUND(I11,2)</f>
        <v/>
      </c>
      <c r="BC11">
        <f>ROUND(R11,2)</f>
        <v/>
      </c>
      <c r="BD11">
        <f>ROUND(100*V11/U11,2)</f>
        <v/>
      </c>
      <c r="BE11">
        <f>ROUND(1000*(W11+Y11)/N11,2)</f>
        <v/>
      </c>
      <c r="BF11">
        <f>ROUND(W11,2)</f>
        <v/>
      </c>
      <c r="BG11">
        <f>ROUND(X11,2)</f>
        <v/>
      </c>
      <c r="BH11">
        <f>ROUND(Z11,2)</f>
        <v/>
      </c>
      <c r="BI11">
        <f>ROUND(AA11,2)</f>
        <v/>
      </c>
      <c r="BJ11">
        <f>ROUND(AB11/N11,2)</f>
        <v/>
      </c>
      <c r="BK11">
        <f>ROUND(AC11,2)</f>
        <v/>
      </c>
      <c r="BL11">
        <f>ROUND(AD11,2)</f>
        <v/>
      </c>
      <c r="BM11">
        <f>ROUND(AP11,2)</f>
        <v/>
      </c>
      <c r="BN11">
        <f>ROUND(100*AR11/AQ11,2)</f>
        <v/>
      </c>
      <c r="BO11">
        <f>ROUND(AK11,2)</f>
        <v/>
      </c>
      <c r="BP11">
        <f>ROUND(200000*AF11/AE11,2)</f>
        <v/>
      </c>
      <c r="BQ11">
        <f>ROUND(AG11,2)</f>
        <v/>
      </c>
      <c r="BR11">
        <f>ROUND(AH11,2)</f>
        <v/>
      </c>
      <c r="BS11">
        <f>ROUND(AI11,2)</f>
        <v/>
      </c>
      <c r="BT11">
        <f>ROUND(AJ11,2)</f>
        <v/>
      </c>
      <c r="BU11">
        <f>ROUND(AL11,2)</f>
        <v/>
      </c>
      <c r="BV11">
        <f>ROUND(AM11,2)</f>
        <v/>
      </c>
      <c r="BW11">
        <f>ROUND(IF(AN11=0,100,100*AO11/AN11),2)</f>
        <v/>
      </c>
      <c r="BX11">
        <f>ROUND(AS11,2)</f>
        <v/>
      </c>
    </row>
    <row r="12">
      <c r="A12" t="inlineStr">
        <is>
          <t>Group</t>
        </is>
      </c>
      <c r="B12" t="inlineStr">
        <is>
          <t>Entity A1</t>
        </is>
      </c>
      <c r="C12" t="inlineStr">
        <is>
          <t>Plant 02</t>
        </is>
      </c>
      <c r="D12" t="inlineStr">
        <is>
          <t>2026-06</t>
        </is>
      </c>
      <c r="E12" t="n">
        <v>188.9</v>
      </c>
      <c r="F12" t="n">
        <v>720</v>
      </c>
      <c r="G12" t="n">
        <v>718</v>
      </c>
      <c r="H12" t="n">
        <v>669.9</v>
      </c>
      <c r="I12" t="n">
        <v>37.1</v>
      </c>
      <c r="J12" t="n">
        <v>135630</v>
      </c>
      <c r="K12" t="n">
        <v>136008</v>
      </c>
      <c r="L12" t="n">
        <v>120521</v>
      </c>
      <c r="M12" t="n">
        <v>96232</v>
      </c>
      <c r="N12" t="n">
        <v>91848</v>
      </c>
      <c r="O12" t="n">
        <v>97224</v>
      </c>
      <c r="P12" t="n">
        <v>21417</v>
      </c>
      <c r="Q12" t="n">
        <v>17596</v>
      </c>
      <c r="R12" t="n">
        <v>7008</v>
      </c>
      <c r="S12" t="n">
        <v>4</v>
      </c>
      <c r="T12" t="n">
        <v>32.6</v>
      </c>
      <c r="U12" t="n">
        <v>36</v>
      </c>
      <c r="V12" t="n">
        <v>31</v>
      </c>
      <c r="W12" t="n">
        <v>321487.9</v>
      </c>
      <c r="X12" t="n">
        <v>71503.8</v>
      </c>
      <c r="Y12" t="n">
        <v>1098.9</v>
      </c>
      <c r="Z12" t="n">
        <v>174177</v>
      </c>
      <c r="AA12" t="n">
        <v>54970</v>
      </c>
      <c r="AB12" t="n">
        <v>368624</v>
      </c>
      <c r="AC12" t="n">
        <v>28075</v>
      </c>
      <c r="AD12" t="n">
        <v>2</v>
      </c>
      <c r="AE12" t="n">
        <v>62000</v>
      </c>
      <c r="AF12" t="n">
        <v>1</v>
      </c>
      <c r="AG12" t="n">
        <v>0</v>
      </c>
      <c r="AH12" t="n">
        <v>4</v>
      </c>
      <c r="AI12" t="n">
        <v>0</v>
      </c>
      <c r="AJ12" t="n">
        <v>0</v>
      </c>
      <c r="AK12" t="n">
        <v>0</v>
      </c>
      <c r="AL12" t="n">
        <v>5</v>
      </c>
      <c r="AM12" t="n">
        <v>0</v>
      </c>
      <c r="AN12" t="n">
        <v>2</v>
      </c>
      <c r="AO12" t="n">
        <v>1</v>
      </c>
      <c r="AP12" t="n">
        <v>1</v>
      </c>
      <c r="AQ12" t="n">
        <v>194</v>
      </c>
      <c r="AR12" t="n">
        <v>21</v>
      </c>
      <c r="AS12" t="n">
        <v>155</v>
      </c>
      <c r="AT12">
        <f>ROUND(100*N12/L12,2)</f>
        <v/>
      </c>
      <c r="AU12">
        <f>ROUND(100*N12/K12,2)</f>
        <v/>
      </c>
      <c r="AV12">
        <f>ROUND(100*H12/F12,2)</f>
        <v/>
      </c>
      <c r="AW12">
        <f>ROUND(100*N12/J12,2)</f>
        <v/>
      </c>
      <c r="AX12">
        <f>ROUND(100*Q12/P12,2)</f>
        <v/>
      </c>
      <c r="AY12">
        <f>ROUND(100*N12/O12,2)</f>
        <v/>
      </c>
      <c r="AZ12">
        <f>ROUND(H12/S12,2)</f>
        <v/>
      </c>
      <c r="BA12">
        <f>ROUND(T12/S12,2)</f>
        <v/>
      </c>
      <c r="BB12">
        <f>ROUND(I12,2)</f>
        <v/>
      </c>
      <c r="BC12">
        <f>ROUND(R12,2)</f>
        <v/>
      </c>
      <c r="BD12">
        <f>ROUND(100*V12/U12,2)</f>
        <v/>
      </c>
      <c r="BE12">
        <f>ROUND(1000*(W12+Y12)/N12,2)</f>
        <v/>
      </c>
      <c r="BF12">
        <f>ROUND(W12,2)</f>
        <v/>
      </c>
      <c r="BG12">
        <f>ROUND(X12,2)</f>
        <v/>
      </c>
      <c r="BH12">
        <f>ROUND(Z12,2)</f>
        <v/>
      </c>
      <c r="BI12">
        <f>ROUND(AA12,2)</f>
        <v/>
      </c>
      <c r="BJ12">
        <f>ROUND(AB12/N12,2)</f>
        <v/>
      </c>
      <c r="BK12">
        <f>ROUND(AC12,2)</f>
        <v/>
      </c>
      <c r="BL12">
        <f>ROUND(AD12,2)</f>
        <v/>
      </c>
      <c r="BM12">
        <f>ROUND(AP12,2)</f>
        <v/>
      </c>
      <c r="BN12">
        <f>ROUND(100*AR12/AQ12,2)</f>
        <v/>
      </c>
      <c r="BO12">
        <f>ROUND(AK12,2)</f>
        <v/>
      </c>
      <c r="BP12">
        <f>ROUND(200000*AF12/AE12,2)</f>
        <v/>
      </c>
      <c r="BQ12">
        <f>ROUND(AG12,2)</f>
        <v/>
      </c>
      <c r="BR12">
        <f>ROUND(AH12,2)</f>
        <v/>
      </c>
      <c r="BS12">
        <f>ROUND(AI12,2)</f>
        <v/>
      </c>
      <c r="BT12">
        <f>ROUND(AJ12,2)</f>
        <v/>
      </c>
      <c r="BU12">
        <f>ROUND(AL12,2)</f>
        <v/>
      </c>
      <c r="BV12">
        <f>ROUND(AM12,2)</f>
        <v/>
      </c>
      <c r="BW12">
        <f>ROUND(IF(AN12=0,100,100*AO12/AN12),2)</f>
        <v/>
      </c>
      <c r="BX12">
        <f>ROUND(AS12,2)</f>
        <v/>
      </c>
    </row>
    <row r="13">
      <c r="A13" t="inlineStr">
        <is>
          <t>Group</t>
        </is>
      </c>
      <c r="B13" t="inlineStr">
        <is>
          <t>Entity A1</t>
        </is>
      </c>
      <c r="C13" t="inlineStr">
        <is>
          <t>Plant 02</t>
        </is>
      </c>
      <c r="D13" t="inlineStr">
        <is>
          <t>2026-07</t>
        </is>
      </c>
      <c r="E13" t="n">
        <v>188.9</v>
      </c>
      <c r="F13" t="n">
        <v>744</v>
      </c>
      <c r="G13" t="n">
        <v>737</v>
      </c>
      <c r="H13" t="n">
        <v>655.4</v>
      </c>
      <c r="I13" t="n">
        <v>69.3</v>
      </c>
      <c r="J13" t="n">
        <v>139219</v>
      </c>
      <c r="K13" t="n">
        <v>140542</v>
      </c>
      <c r="L13" t="n">
        <v>122135</v>
      </c>
      <c r="M13" t="n">
        <v>101413</v>
      </c>
      <c r="N13" t="n">
        <v>97731</v>
      </c>
      <c r="O13" t="n">
        <v>108037</v>
      </c>
      <c r="P13" t="n">
        <v>20571</v>
      </c>
      <c r="Q13" t="n">
        <v>17916</v>
      </c>
      <c r="R13" t="n">
        <v>13091</v>
      </c>
      <c r="S13" t="n">
        <v>6</v>
      </c>
      <c r="T13" t="n">
        <v>65.7</v>
      </c>
      <c r="U13" t="n">
        <v>56</v>
      </c>
      <c r="V13" t="n">
        <v>44</v>
      </c>
      <c r="W13" t="n">
        <v>350472.9</v>
      </c>
      <c r="X13" t="n">
        <v>93258.3</v>
      </c>
      <c r="Y13" t="n">
        <v>1434.2</v>
      </c>
      <c r="Z13" t="n">
        <v>204288</v>
      </c>
      <c r="AA13" t="n">
        <v>57701</v>
      </c>
      <c r="AB13" t="n">
        <v>356252</v>
      </c>
      <c r="AC13" t="n">
        <v>22870</v>
      </c>
      <c r="AD13" t="n">
        <v>2</v>
      </c>
      <c r="AE13" t="n">
        <v>68000</v>
      </c>
      <c r="AF13" t="n">
        <v>0</v>
      </c>
      <c r="AG13" t="n">
        <v>1</v>
      </c>
      <c r="AH13" t="n">
        <v>6</v>
      </c>
      <c r="AI13" t="n">
        <v>0</v>
      </c>
      <c r="AJ13" t="n">
        <v>1</v>
      </c>
      <c r="AK13" t="n">
        <v>0</v>
      </c>
      <c r="AL13" t="n">
        <v>7</v>
      </c>
      <c r="AM13" t="n">
        <v>0</v>
      </c>
      <c r="AN13" t="n">
        <v>1</v>
      </c>
      <c r="AO13" t="n">
        <v>1</v>
      </c>
      <c r="AP13" t="n">
        <v>0</v>
      </c>
      <c r="AQ13" t="n">
        <v>129</v>
      </c>
      <c r="AR13" t="n">
        <v>15</v>
      </c>
      <c r="AS13" t="n">
        <v>125</v>
      </c>
      <c r="AT13">
        <f>ROUND(100*N13/L13,2)</f>
        <v/>
      </c>
      <c r="AU13">
        <f>ROUND(100*N13/K13,2)</f>
        <v/>
      </c>
      <c r="AV13">
        <f>ROUND(100*H13/F13,2)</f>
        <v/>
      </c>
      <c r="AW13">
        <f>ROUND(100*N13/J13,2)</f>
        <v/>
      </c>
      <c r="AX13">
        <f>ROUND(100*Q13/P13,2)</f>
        <v/>
      </c>
      <c r="AY13">
        <f>ROUND(100*N13/O13,2)</f>
        <v/>
      </c>
      <c r="AZ13">
        <f>ROUND(H13/S13,2)</f>
        <v/>
      </c>
      <c r="BA13">
        <f>ROUND(T13/S13,2)</f>
        <v/>
      </c>
      <c r="BB13">
        <f>ROUND(I13,2)</f>
        <v/>
      </c>
      <c r="BC13">
        <f>ROUND(R13,2)</f>
        <v/>
      </c>
      <c r="BD13">
        <f>ROUND(100*V13/U13,2)</f>
        <v/>
      </c>
      <c r="BE13">
        <f>ROUND(1000*(W13+Y13)/N13,2)</f>
        <v/>
      </c>
      <c r="BF13">
        <f>ROUND(W13,2)</f>
        <v/>
      </c>
      <c r="BG13">
        <f>ROUND(X13,2)</f>
        <v/>
      </c>
      <c r="BH13">
        <f>ROUND(Z13,2)</f>
        <v/>
      </c>
      <c r="BI13">
        <f>ROUND(AA13,2)</f>
        <v/>
      </c>
      <c r="BJ13">
        <f>ROUND(AB13/N13,2)</f>
        <v/>
      </c>
      <c r="BK13">
        <f>ROUND(AC13,2)</f>
        <v/>
      </c>
      <c r="BL13">
        <f>ROUND(AD13,2)</f>
        <v/>
      </c>
      <c r="BM13">
        <f>ROUND(AP13,2)</f>
        <v/>
      </c>
      <c r="BN13">
        <f>ROUND(100*AR13/AQ13,2)</f>
        <v/>
      </c>
      <c r="BO13">
        <f>ROUND(AK13,2)</f>
        <v/>
      </c>
      <c r="BP13">
        <f>ROUND(200000*AF13/AE13,2)</f>
        <v/>
      </c>
      <c r="BQ13">
        <f>ROUND(AG13,2)</f>
        <v/>
      </c>
      <c r="BR13">
        <f>ROUND(AH13,2)</f>
        <v/>
      </c>
      <c r="BS13">
        <f>ROUND(AI13,2)</f>
        <v/>
      </c>
      <c r="BT13">
        <f>ROUND(AJ13,2)</f>
        <v/>
      </c>
      <c r="BU13">
        <f>ROUND(AL13,2)</f>
        <v/>
      </c>
      <c r="BV13">
        <f>ROUND(AM13,2)</f>
        <v/>
      </c>
      <c r="BW13">
        <f>ROUND(IF(AN13=0,100,100*AO13/AN13),2)</f>
        <v/>
      </c>
      <c r="BX13">
        <f>ROUND(AS13,2)</f>
        <v/>
      </c>
    </row>
    <row r="14">
      <c r="A14" t="inlineStr">
        <is>
          <t>Group</t>
        </is>
      </c>
      <c r="B14" t="inlineStr">
        <is>
          <t>Entity A1</t>
        </is>
      </c>
      <c r="C14" t="inlineStr">
        <is>
          <t>Plant 02</t>
        </is>
      </c>
      <c r="D14" t="inlineStr">
        <is>
          <t>2026-08</t>
        </is>
      </c>
      <c r="E14" t="n">
        <v>188.9</v>
      </c>
      <c r="F14" t="n">
        <v>744</v>
      </c>
      <c r="G14" t="n">
        <v>674</v>
      </c>
      <c r="H14" t="n">
        <v>603.4</v>
      </c>
      <c r="I14" t="n">
        <v>53.5</v>
      </c>
      <c r="J14" t="n">
        <v>127319</v>
      </c>
      <c r="K14" t="n">
        <v>140542</v>
      </c>
      <c r="L14" t="n">
        <v>109907</v>
      </c>
      <c r="M14" t="n">
        <v>90236</v>
      </c>
      <c r="N14" t="n">
        <v>86596</v>
      </c>
      <c r="O14" t="n">
        <v>97767</v>
      </c>
      <c r="P14" t="n">
        <v>22655</v>
      </c>
      <c r="Q14" t="n">
        <v>18611</v>
      </c>
      <c r="R14" t="n">
        <v>10106</v>
      </c>
      <c r="S14" t="n">
        <v>4</v>
      </c>
      <c r="T14" t="n">
        <v>46.8</v>
      </c>
      <c r="U14" t="n">
        <v>39</v>
      </c>
      <c r="V14" t="n">
        <v>37</v>
      </c>
      <c r="W14" t="n">
        <v>293787.6</v>
      </c>
      <c r="X14" t="n">
        <v>89718.10000000001</v>
      </c>
      <c r="Y14" t="n">
        <v>1404.1</v>
      </c>
      <c r="Z14" t="n">
        <v>164589</v>
      </c>
      <c r="AA14" t="n">
        <v>62319</v>
      </c>
      <c r="AB14" t="n">
        <v>347920</v>
      </c>
      <c r="AC14" t="n">
        <v>23073</v>
      </c>
      <c r="AD14" t="n">
        <v>3</v>
      </c>
      <c r="AE14" t="n">
        <v>69000</v>
      </c>
      <c r="AF14" t="n">
        <v>0</v>
      </c>
      <c r="AG14" t="n">
        <v>1</v>
      </c>
      <c r="AH14" t="n">
        <v>5</v>
      </c>
      <c r="AI14" t="n">
        <v>1</v>
      </c>
      <c r="AJ14" t="n">
        <v>0</v>
      </c>
      <c r="AK14" t="n">
        <v>0</v>
      </c>
      <c r="AL14" t="n">
        <v>8</v>
      </c>
      <c r="AM14" t="n">
        <v>1</v>
      </c>
      <c r="AN14" t="n">
        <v>0</v>
      </c>
      <c r="AO14" t="n">
        <v>0</v>
      </c>
      <c r="AP14" t="n">
        <v>0</v>
      </c>
      <c r="AQ14" t="n">
        <v>212</v>
      </c>
      <c r="AR14" t="n">
        <v>32</v>
      </c>
      <c r="AS14" t="n">
        <v>95</v>
      </c>
      <c r="AT14">
        <f>ROUND(100*N14/L14,2)</f>
        <v/>
      </c>
      <c r="AU14">
        <f>ROUND(100*N14/K14,2)</f>
        <v/>
      </c>
      <c r="AV14">
        <f>ROUND(100*H14/F14,2)</f>
        <v/>
      </c>
      <c r="AW14">
        <f>ROUND(100*N14/J14,2)</f>
        <v/>
      </c>
      <c r="AX14">
        <f>ROUND(100*Q14/P14,2)</f>
        <v/>
      </c>
      <c r="AY14">
        <f>ROUND(100*N14/O14,2)</f>
        <v/>
      </c>
      <c r="AZ14">
        <f>ROUND(H14/S14,2)</f>
        <v/>
      </c>
      <c r="BA14">
        <f>ROUND(T14/S14,2)</f>
        <v/>
      </c>
      <c r="BB14">
        <f>ROUND(I14,2)</f>
        <v/>
      </c>
      <c r="BC14">
        <f>ROUND(R14,2)</f>
        <v/>
      </c>
      <c r="BD14">
        <f>ROUND(100*V14/U14,2)</f>
        <v/>
      </c>
      <c r="BE14">
        <f>ROUND(1000*(W14+Y14)/N14,2)</f>
        <v/>
      </c>
      <c r="BF14">
        <f>ROUND(W14,2)</f>
        <v/>
      </c>
      <c r="BG14">
        <f>ROUND(X14,2)</f>
        <v/>
      </c>
      <c r="BH14">
        <f>ROUND(Z14,2)</f>
        <v/>
      </c>
      <c r="BI14">
        <f>ROUND(AA14,2)</f>
        <v/>
      </c>
      <c r="BJ14">
        <f>ROUND(AB14/N14,2)</f>
        <v/>
      </c>
      <c r="BK14">
        <f>ROUND(AC14,2)</f>
        <v/>
      </c>
      <c r="BL14">
        <f>ROUND(AD14,2)</f>
        <v/>
      </c>
      <c r="BM14">
        <f>ROUND(AP14,2)</f>
        <v/>
      </c>
      <c r="BN14">
        <f>ROUND(100*AR14/AQ14,2)</f>
        <v/>
      </c>
      <c r="BO14">
        <f>ROUND(AK14,2)</f>
        <v/>
      </c>
      <c r="BP14">
        <f>ROUND(200000*AF14/AE14,2)</f>
        <v/>
      </c>
      <c r="BQ14">
        <f>ROUND(AG14,2)</f>
        <v/>
      </c>
      <c r="BR14">
        <f>ROUND(AH14,2)</f>
        <v/>
      </c>
      <c r="BS14">
        <f>ROUND(AI14,2)</f>
        <v/>
      </c>
      <c r="BT14">
        <f>ROUND(AJ14,2)</f>
        <v/>
      </c>
      <c r="BU14">
        <f>ROUND(AL14,2)</f>
        <v/>
      </c>
      <c r="BV14">
        <f>ROUND(AM14,2)</f>
        <v/>
      </c>
      <c r="BW14">
        <f>ROUND(IF(AN14=0,100,100*AO14/AN14),2)</f>
        <v/>
      </c>
      <c r="BX14">
        <f>ROUND(AS14,2)</f>
        <v/>
      </c>
    </row>
    <row r="15">
      <c r="A15" t="inlineStr">
        <is>
          <t>Group</t>
        </is>
      </c>
      <c r="B15" t="inlineStr">
        <is>
          <t>Entity A1</t>
        </is>
      </c>
      <c r="C15" t="inlineStr">
        <is>
          <t>Plant 02</t>
        </is>
      </c>
      <c r="D15" t="inlineStr">
        <is>
          <t>2026-09</t>
        </is>
      </c>
      <c r="E15" t="n">
        <v>188.9</v>
      </c>
      <c r="F15" t="n">
        <v>720</v>
      </c>
      <c r="G15" t="n">
        <v>717</v>
      </c>
      <c r="H15" t="n">
        <v>624.3</v>
      </c>
      <c r="I15" t="n">
        <v>78.2</v>
      </c>
      <c r="J15" t="n">
        <v>135441</v>
      </c>
      <c r="K15" t="n">
        <v>136008</v>
      </c>
      <c r="L15" t="n">
        <v>121475</v>
      </c>
      <c r="M15" t="n">
        <v>97250</v>
      </c>
      <c r="N15" t="n">
        <v>95233</v>
      </c>
      <c r="O15" t="n">
        <v>102279</v>
      </c>
      <c r="P15" t="n">
        <v>20791</v>
      </c>
      <c r="Q15" t="n">
        <v>17994</v>
      </c>
      <c r="R15" t="n">
        <v>14772</v>
      </c>
      <c r="S15" t="n">
        <v>6</v>
      </c>
      <c r="T15" t="n">
        <v>68.5</v>
      </c>
      <c r="U15" t="n">
        <v>33</v>
      </c>
      <c r="V15" t="n">
        <v>27</v>
      </c>
      <c r="W15" t="n">
        <v>308111</v>
      </c>
      <c r="X15" t="n">
        <v>70784.39999999999</v>
      </c>
      <c r="Y15" t="n">
        <v>940.2</v>
      </c>
      <c r="Z15" t="n">
        <v>245659</v>
      </c>
      <c r="AA15" t="n">
        <v>68824</v>
      </c>
      <c r="AB15" t="n">
        <v>358135</v>
      </c>
      <c r="AC15" t="n">
        <v>24322</v>
      </c>
      <c r="AD15" t="n">
        <v>4</v>
      </c>
      <c r="AE15" t="n">
        <v>95000</v>
      </c>
      <c r="AF15" t="n">
        <v>0</v>
      </c>
      <c r="AG15" t="n">
        <v>0</v>
      </c>
      <c r="AH15" t="n">
        <v>2</v>
      </c>
      <c r="AI15" t="n">
        <v>0</v>
      </c>
      <c r="AJ15" t="n">
        <v>1</v>
      </c>
      <c r="AK15" t="n">
        <v>0</v>
      </c>
      <c r="AL15" t="n">
        <v>6</v>
      </c>
      <c r="AM15" t="n">
        <v>1</v>
      </c>
      <c r="AN15" t="n">
        <v>2</v>
      </c>
      <c r="AO15" t="n">
        <v>1</v>
      </c>
      <c r="AP15" t="n">
        <v>1</v>
      </c>
      <c r="AQ15" t="n">
        <v>225</v>
      </c>
      <c r="AR15" t="n">
        <v>36</v>
      </c>
      <c r="AS15" t="n">
        <v>65</v>
      </c>
      <c r="AT15">
        <f>ROUND(100*N15/L15,2)</f>
        <v/>
      </c>
      <c r="AU15">
        <f>ROUND(100*N15/K15,2)</f>
        <v/>
      </c>
      <c r="AV15">
        <f>ROUND(100*H15/F15,2)</f>
        <v/>
      </c>
      <c r="AW15">
        <f>ROUND(100*N15/J15,2)</f>
        <v/>
      </c>
      <c r="AX15">
        <f>ROUND(100*Q15/P15,2)</f>
        <v/>
      </c>
      <c r="AY15">
        <f>ROUND(100*N15/O15,2)</f>
        <v/>
      </c>
      <c r="AZ15">
        <f>ROUND(H15/S15,2)</f>
        <v/>
      </c>
      <c r="BA15">
        <f>ROUND(T15/S15,2)</f>
        <v/>
      </c>
      <c r="BB15">
        <f>ROUND(I15,2)</f>
        <v/>
      </c>
      <c r="BC15">
        <f>ROUND(R15,2)</f>
        <v/>
      </c>
      <c r="BD15">
        <f>ROUND(100*V15/U15,2)</f>
        <v/>
      </c>
      <c r="BE15">
        <f>ROUND(1000*(W15+Y15)/N15,2)</f>
        <v/>
      </c>
      <c r="BF15">
        <f>ROUND(W15,2)</f>
        <v/>
      </c>
      <c r="BG15">
        <f>ROUND(X15,2)</f>
        <v/>
      </c>
      <c r="BH15">
        <f>ROUND(Z15,2)</f>
        <v/>
      </c>
      <c r="BI15">
        <f>ROUND(AA15,2)</f>
        <v/>
      </c>
      <c r="BJ15">
        <f>ROUND(AB15/N15,2)</f>
        <v/>
      </c>
      <c r="BK15">
        <f>ROUND(AC15,2)</f>
        <v/>
      </c>
      <c r="BL15">
        <f>ROUND(AD15,2)</f>
        <v/>
      </c>
      <c r="BM15">
        <f>ROUND(AP15,2)</f>
        <v/>
      </c>
      <c r="BN15">
        <f>ROUND(100*AR15/AQ15,2)</f>
        <v/>
      </c>
      <c r="BO15">
        <f>ROUND(AK15,2)</f>
        <v/>
      </c>
      <c r="BP15">
        <f>ROUND(200000*AF15/AE15,2)</f>
        <v/>
      </c>
      <c r="BQ15">
        <f>ROUND(AG15,2)</f>
        <v/>
      </c>
      <c r="BR15">
        <f>ROUND(AH15,2)</f>
        <v/>
      </c>
      <c r="BS15">
        <f>ROUND(AI15,2)</f>
        <v/>
      </c>
      <c r="BT15">
        <f>ROUND(AJ15,2)</f>
        <v/>
      </c>
      <c r="BU15">
        <f>ROUND(AL15,2)</f>
        <v/>
      </c>
      <c r="BV15">
        <f>ROUND(AM15,2)</f>
        <v/>
      </c>
      <c r="BW15">
        <f>ROUND(IF(AN15=0,100,100*AO15/AN15),2)</f>
        <v/>
      </c>
      <c r="BX15">
        <f>ROUND(AS15,2)</f>
        <v/>
      </c>
    </row>
    <row r="16">
      <c r="A16" t="inlineStr">
        <is>
          <t>Group</t>
        </is>
      </c>
      <c r="B16" t="inlineStr">
        <is>
          <t>Entity A1</t>
        </is>
      </c>
      <c r="C16" t="inlineStr">
        <is>
          <t>Plant 03</t>
        </is>
      </c>
      <c r="D16" t="inlineStr">
        <is>
          <t>2026-04</t>
        </is>
      </c>
      <c r="E16" t="n">
        <v>225.4</v>
      </c>
      <c r="F16" t="n">
        <v>720</v>
      </c>
      <c r="G16" t="n">
        <v>709</v>
      </c>
      <c r="H16" t="n">
        <v>679.1</v>
      </c>
      <c r="I16" t="n">
        <v>18.5</v>
      </c>
      <c r="J16" t="n">
        <v>159809</v>
      </c>
      <c r="K16" t="n">
        <v>162288</v>
      </c>
      <c r="L16" t="n">
        <v>140381</v>
      </c>
      <c r="M16" t="n">
        <v>137702</v>
      </c>
      <c r="N16" t="n">
        <v>135597</v>
      </c>
      <c r="O16" t="n">
        <v>151646</v>
      </c>
      <c r="P16" t="n">
        <v>30509</v>
      </c>
      <c r="Q16" t="n">
        <v>27116</v>
      </c>
      <c r="R16" t="n">
        <v>4170</v>
      </c>
      <c r="S16" t="n">
        <v>2</v>
      </c>
      <c r="T16" t="n">
        <v>11.6</v>
      </c>
      <c r="U16" t="n">
        <v>46</v>
      </c>
      <c r="V16" t="n">
        <v>45</v>
      </c>
      <c r="W16" t="n">
        <v>423748.9</v>
      </c>
      <c r="X16" t="n">
        <v>102285.4</v>
      </c>
      <c r="Y16" t="n">
        <v>1376.4</v>
      </c>
      <c r="Z16" t="n">
        <v>293580</v>
      </c>
      <c r="AA16" t="n">
        <v>100138</v>
      </c>
      <c r="AB16" t="n">
        <v>411317</v>
      </c>
      <c r="AC16" t="n">
        <v>5413</v>
      </c>
      <c r="AD16" t="n">
        <v>1</v>
      </c>
      <c r="AE16" t="n">
        <v>81000</v>
      </c>
      <c r="AF16" t="n">
        <v>0</v>
      </c>
      <c r="AG16" t="n">
        <v>0</v>
      </c>
      <c r="AH16" t="n">
        <v>5</v>
      </c>
      <c r="AI16" t="n">
        <v>0</v>
      </c>
      <c r="AJ16" t="n">
        <v>1</v>
      </c>
      <c r="AK16" t="n">
        <v>0</v>
      </c>
      <c r="AL16" t="n">
        <v>5</v>
      </c>
      <c r="AM16" t="n">
        <v>1</v>
      </c>
      <c r="AN16" t="n">
        <v>1</v>
      </c>
      <c r="AO16" t="n">
        <v>0</v>
      </c>
      <c r="AP16" t="n">
        <v>0</v>
      </c>
      <c r="AQ16" t="n">
        <v>130</v>
      </c>
      <c r="AR16" t="n">
        <v>5</v>
      </c>
      <c r="AS16" t="n">
        <v>218</v>
      </c>
      <c r="AT16">
        <f>ROUND(100*N16/L16,2)</f>
        <v/>
      </c>
      <c r="AU16">
        <f>ROUND(100*N16/K16,2)</f>
        <v/>
      </c>
      <c r="AV16">
        <f>ROUND(100*H16/F16,2)</f>
        <v/>
      </c>
      <c r="AW16">
        <f>ROUND(100*N16/J16,2)</f>
        <v/>
      </c>
      <c r="AX16">
        <f>ROUND(100*Q16/P16,2)</f>
        <v/>
      </c>
      <c r="AY16">
        <f>ROUND(100*N16/O16,2)</f>
        <v/>
      </c>
      <c r="AZ16">
        <f>ROUND(H16/S16,2)</f>
        <v/>
      </c>
      <c r="BA16">
        <f>ROUND(T16/S16,2)</f>
        <v/>
      </c>
      <c r="BB16">
        <f>ROUND(I16,2)</f>
        <v/>
      </c>
      <c r="BC16">
        <f>ROUND(R16,2)</f>
        <v/>
      </c>
      <c r="BD16">
        <f>ROUND(100*V16/U16,2)</f>
        <v/>
      </c>
      <c r="BE16">
        <f>ROUND(1000*(W16+Y16)/N16,2)</f>
        <v/>
      </c>
      <c r="BF16">
        <f>ROUND(W16,2)</f>
        <v/>
      </c>
      <c r="BG16">
        <f>ROUND(X16,2)</f>
        <v/>
      </c>
      <c r="BH16">
        <f>ROUND(Z16,2)</f>
        <v/>
      </c>
      <c r="BI16">
        <f>ROUND(AA16,2)</f>
        <v/>
      </c>
      <c r="BJ16">
        <f>ROUND(AB16/N16,2)</f>
        <v/>
      </c>
      <c r="BK16">
        <f>ROUND(AC16,2)</f>
        <v/>
      </c>
      <c r="BL16">
        <f>ROUND(AD16,2)</f>
        <v/>
      </c>
      <c r="BM16">
        <f>ROUND(AP16,2)</f>
        <v/>
      </c>
      <c r="BN16">
        <f>ROUND(100*AR16/AQ16,2)</f>
        <v/>
      </c>
      <c r="BO16">
        <f>ROUND(AK16,2)</f>
        <v/>
      </c>
      <c r="BP16">
        <f>ROUND(200000*AF16/AE16,2)</f>
        <v/>
      </c>
      <c r="BQ16">
        <f>ROUND(AG16,2)</f>
        <v/>
      </c>
      <c r="BR16">
        <f>ROUND(AH16,2)</f>
        <v/>
      </c>
      <c r="BS16">
        <f>ROUND(AI16,2)</f>
        <v/>
      </c>
      <c r="BT16">
        <f>ROUND(AJ16,2)</f>
        <v/>
      </c>
      <c r="BU16">
        <f>ROUND(AL16,2)</f>
        <v/>
      </c>
      <c r="BV16">
        <f>ROUND(AM16,2)</f>
        <v/>
      </c>
      <c r="BW16">
        <f>ROUND(IF(AN16=0,100,100*AO16/AN16),2)</f>
        <v/>
      </c>
      <c r="BX16">
        <f>ROUND(AS16,2)</f>
        <v/>
      </c>
    </row>
    <row r="17">
      <c r="A17" t="inlineStr">
        <is>
          <t>Group</t>
        </is>
      </c>
      <c r="B17" t="inlineStr">
        <is>
          <t>Entity A1</t>
        </is>
      </c>
      <c r="C17" t="inlineStr">
        <is>
          <t>Plant 03</t>
        </is>
      </c>
      <c r="D17" t="inlineStr">
        <is>
          <t>2026-05</t>
        </is>
      </c>
      <c r="E17" t="n">
        <v>225.4</v>
      </c>
      <c r="F17" t="n">
        <v>744</v>
      </c>
      <c r="G17" t="n">
        <v>675</v>
      </c>
      <c r="H17" t="n">
        <v>644.2</v>
      </c>
      <c r="I17" t="n">
        <v>22.6</v>
      </c>
      <c r="J17" t="n">
        <v>152145</v>
      </c>
      <c r="K17" t="n">
        <v>167698</v>
      </c>
      <c r="L17" t="n">
        <v>139327</v>
      </c>
      <c r="M17" t="n">
        <v>129882</v>
      </c>
      <c r="N17" t="n">
        <v>123727</v>
      </c>
      <c r="O17" t="n">
        <v>139092</v>
      </c>
      <c r="P17" t="n">
        <v>26667</v>
      </c>
      <c r="Q17" t="n">
        <v>22876</v>
      </c>
      <c r="R17" t="n">
        <v>5094</v>
      </c>
      <c r="S17" t="n">
        <v>4</v>
      </c>
      <c r="T17" t="n">
        <v>18.4</v>
      </c>
      <c r="U17" t="n">
        <v>54</v>
      </c>
      <c r="V17" t="n">
        <v>51</v>
      </c>
      <c r="W17" t="n">
        <v>380693.8</v>
      </c>
      <c r="X17" t="n">
        <v>88979.2</v>
      </c>
      <c r="Y17" t="n">
        <v>1092.1</v>
      </c>
      <c r="Z17" t="n">
        <v>320054</v>
      </c>
      <c r="AA17" t="n">
        <v>72786</v>
      </c>
      <c r="AB17" t="n">
        <v>378969</v>
      </c>
      <c r="AC17" t="n">
        <v>18096</v>
      </c>
      <c r="AD17" t="n">
        <v>1</v>
      </c>
      <c r="AE17" t="n">
        <v>76000</v>
      </c>
      <c r="AF17" t="n">
        <v>1</v>
      </c>
      <c r="AG17" t="n">
        <v>0</v>
      </c>
      <c r="AH17" t="n">
        <v>10</v>
      </c>
      <c r="AI17" t="n">
        <v>0</v>
      </c>
      <c r="AJ17" t="n">
        <v>1</v>
      </c>
      <c r="AK17" t="n">
        <v>0</v>
      </c>
      <c r="AL17" t="n">
        <v>10</v>
      </c>
      <c r="AM17" t="n">
        <v>2</v>
      </c>
      <c r="AN17" t="n">
        <v>0</v>
      </c>
      <c r="AO17" t="n">
        <v>0</v>
      </c>
      <c r="AP17" t="n">
        <v>0</v>
      </c>
      <c r="AQ17" t="n">
        <v>230</v>
      </c>
      <c r="AR17" t="n">
        <v>12</v>
      </c>
      <c r="AS17" t="n">
        <v>188</v>
      </c>
      <c r="AT17">
        <f>ROUND(100*N17/L17,2)</f>
        <v/>
      </c>
      <c r="AU17">
        <f>ROUND(100*N17/K17,2)</f>
        <v/>
      </c>
      <c r="AV17">
        <f>ROUND(100*H17/F17,2)</f>
        <v/>
      </c>
      <c r="AW17">
        <f>ROUND(100*N17/J17,2)</f>
        <v/>
      </c>
      <c r="AX17">
        <f>ROUND(100*Q17/P17,2)</f>
        <v/>
      </c>
      <c r="AY17">
        <f>ROUND(100*N17/O17,2)</f>
        <v/>
      </c>
      <c r="AZ17">
        <f>ROUND(H17/S17,2)</f>
        <v/>
      </c>
      <c r="BA17">
        <f>ROUND(T17/S17,2)</f>
        <v/>
      </c>
      <c r="BB17">
        <f>ROUND(I17,2)</f>
        <v/>
      </c>
      <c r="BC17">
        <f>ROUND(R17,2)</f>
        <v/>
      </c>
      <c r="BD17">
        <f>ROUND(100*V17/U17,2)</f>
        <v/>
      </c>
      <c r="BE17">
        <f>ROUND(1000*(W17+Y17)/N17,2)</f>
        <v/>
      </c>
      <c r="BF17">
        <f>ROUND(W17,2)</f>
        <v/>
      </c>
      <c r="BG17">
        <f>ROUND(X17,2)</f>
        <v/>
      </c>
      <c r="BH17">
        <f>ROUND(Z17,2)</f>
        <v/>
      </c>
      <c r="BI17">
        <f>ROUND(AA17,2)</f>
        <v/>
      </c>
      <c r="BJ17">
        <f>ROUND(AB17/N17,2)</f>
        <v/>
      </c>
      <c r="BK17">
        <f>ROUND(AC17,2)</f>
        <v/>
      </c>
      <c r="BL17">
        <f>ROUND(AD17,2)</f>
        <v/>
      </c>
      <c r="BM17">
        <f>ROUND(AP17,2)</f>
        <v/>
      </c>
      <c r="BN17">
        <f>ROUND(100*AR17/AQ17,2)</f>
        <v/>
      </c>
      <c r="BO17">
        <f>ROUND(AK17,2)</f>
        <v/>
      </c>
      <c r="BP17">
        <f>ROUND(200000*AF17/AE17,2)</f>
        <v/>
      </c>
      <c r="BQ17">
        <f>ROUND(AG17,2)</f>
        <v/>
      </c>
      <c r="BR17">
        <f>ROUND(AH17,2)</f>
        <v/>
      </c>
      <c r="BS17">
        <f>ROUND(AI17,2)</f>
        <v/>
      </c>
      <c r="BT17">
        <f>ROUND(AJ17,2)</f>
        <v/>
      </c>
      <c r="BU17">
        <f>ROUND(AL17,2)</f>
        <v/>
      </c>
      <c r="BV17">
        <f>ROUND(AM17,2)</f>
        <v/>
      </c>
      <c r="BW17">
        <f>ROUND(IF(AN17=0,100,100*AO17/AN17),2)</f>
        <v/>
      </c>
      <c r="BX17">
        <f>ROUND(AS17,2)</f>
        <v/>
      </c>
    </row>
    <row r="18">
      <c r="A18" t="inlineStr">
        <is>
          <t>Group</t>
        </is>
      </c>
      <c r="B18" t="inlineStr">
        <is>
          <t>Entity A1</t>
        </is>
      </c>
      <c r="C18" t="inlineStr">
        <is>
          <t>Plant 03</t>
        </is>
      </c>
      <c r="D18" t="inlineStr">
        <is>
          <t>2026-06</t>
        </is>
      </c>
      <c r="E18" t="n">
        <v>225.4</v>
      </c>
      <c r="F18" t="n">
        <v>720</v>
      </c>
      <c r="G18" t="n">
        <v>719</v>
      </c>
      <c r="H18" t="n">
        <v>672.3</v>
      </c>
      <c r="I18" t="n">
        <v>30</v>
      </c>
      <c r="J18" t="n">
        <v>162063</v>
      </c>
      <c r="K18" t="n">
        <v>162288</v>
      </c>
      <c r="L18" t="n">
        <v>141008</v>
      </c>
      <c r="M18" t="n">
        <v>134645</v>
      </c>
      <c r="N18" t="n">
        <v>129167</v>
      </c>
      <c r="O18" t="n">
        <v>140543</v>
      </c>
      <c r="P18" t="n">
        <v>28463</v>
      </c>
      <c r="Q18" t="n">
        <v>25992</v>
      </c>
      <c r="R18" t="n">
        <v>6762</v>
      </c>
      <c r="S18" t="n">
        <v>4</v>
      </c>
      <c r="T18" t="n">
        <v>23.1</v>
      </c>
      <c r="U18" t="n">
        <v>50</v>
      </c>
      <c r="V18" t="n">
        <v>48</v>
      </c>
      <c r="W18" t="n">
        <v>345324.8</v>
      </c>
      <c r="X18" t="n">
        <v>105483</v>
      </c>
      <c r="Y18" t="n">
        <v>952.7</v>
      </c>
      <c r="Z18" t="n">
        <v>282180</v>
      </c>
      <c r="AA18" t="n">
        <v>73193</v>
      </c>
      <c r="AB18" t="n">
        <v>376725</v>
      </c>
      <c r="AC18" t="n">
        <v>14242</v>
      </c>
      <c r="AD18" t="n">
        <v>1</v>
      </c>
      <c r="AE18" t="n">
        <v>72000</v>
      </c>
      <c r="AF18" t="n">
        <v>1</v>
      </c>
      <c r="AG18" t="n">
        <v>0</v>
      </c>
      <c r="AH18" t="n">
        <v>8</v>
      </c>
      <c r="AI18" t="n">
        <v>0</v>
      </c>
      <c r="AJ18" t="n">
        <v>0</v>
      </c>
      <c r="AK18" t="n">
        <v>0</v>
      </c>
      <c r="AL18" t="n">
        <v>13</v>
      </c>
      <c r="AM18" t="n">
        <v>3</v>
      </c>
      <c r="AN18" t="n">
        <v>2</v>
      </c>
      <c r="AO18" t="n">
        <v>2</v>
      </c>
      <c r="AP18" t="n">
        <v>0</v>
      </c>
      <c r="AQ18" t="n">
        <v>181</v>
      </c>
      <c r="AR18" t="n">
        <v>13</v>
      </c>
      <c r="AS18" t="n">
        <v>158</v>
      </c>
      <c r="AT18">
        <f>ROUND(100*N18/L18,2)</f>
        <v/>
      </c>
      <c r="AU18">
        <f>ROUND(100*N18/K18,2)</f>
        <v/>
      </c>
      <c r="AV18">
        <f>ROUND(100*H18/F18,2)</f>
        <v/>
      </c>
      <c r="AW18">
        <f>ROUND(100*N18/J18,2)</f>
        <v/>
      </c>
      <c r="AX18">
        <f>ROUND(100*Q18/P18,2)</f>
        <v/>
      </c>
      <c r="AY18">
        <f>ROUND(100*N18/O18,2)</f>
        <v/>
      </c>
      <c r="AZ18">
        <f>ROUND(H18/S18,2)</f>
        <v/>
      </c>
      <c r="BA18">
        <f>ROUND(T18/S18,2)</f>
        <v/>
      </c>
      <c r="BB18">
        <f>ROUND(I18,2)</f>
        <v/>
      </c>
      <c r="BC18">
        <f>ROUND(R18,2)</f>
        <v/>
      </c>
      <c r="BD18">
        <f>ROUND(100*V18/U18,2)</f>
        <v/>
      </c>
      <c r="BE18">
        <f>ROUND(1000*(W18+Y18)/N18,2)</f>
        <v/>
      </c>
      <c r="BF18">
        <f>ROUND(W18,2)</f>
        <v/>
      </c>
      <c r="BG18">
        <f>ROUND(X18,2)</f>
        <v/>
      </c>
      <c r="BH18">
        <f>ROUND(Z18,2)</f>
        <v/>
      </c>
      <c r="BI18">
        <f>ROUND(AA18,2)</f>
        <v/>
      </c>
      <c r="BJ18">
        <f>ROUND(AB18/N18,2)</f>
        <v/>
      </c>
      <c r="BK18">
        <f>ROUND(AC18,2)</f>
        <v/>
      </c>
      <c r="BL18">
        <f>ROUND(AD18,2)</f>
        <v/>
      </c>
      <c r="BM18">
        <f>ROUND(AP18,2)</f>
        <v/>
      </c>
      <c r="BN18">
        <f>ROUND(100*AR18/AQ18,2)</f>
        <v/>
      </c>
      <c r="BO18">
        <f>ROUND(AK18,2)</f>
        <v/>
      </c>
      <c r="BP18">
        <f>ROUND(200000*AF18/AE18,2)</f>
        <v/>
      </c>
      <c r="BQ18">
        <f>ROUND(AG18,2)</f>
        <v/>
      </c>
      <c r="BR18">
        <f>ROUND(AH18,2)</f>
        <v/>
      </c>
      <c r="BS18">
        <f>ROUND(AI18,2)</f>
        <v/>
      </c>
      <c r="BT18">
        <f>ROUND(AJ18,2)</f>
        <v/>
      </c>
      <c r="BU18">
        <f>ROUND(AL18,2)</f>
        <v/>
      </c>
      <c r="BV18">
        <f>ROUND(AM18,2)</f>
        <v/>
      </c>
      <c r="BW18">
        <f>ROUND(IF(AN18=0,100,100*AO18/AN18),2)</f>
        <v/>
      </c>
      <c r="BX18">
        <f>ROUND(AS18,2)</f>
        <v/>
      </c>
    </row>
    <row r="19">
      <c r="A19" t="inlineStr">
        <is>
          <t>Group</t>
        </is>
      </c>
      <c r="B19" t="inlineStr">
        <is>
          <t>Entity A1</t>
        </is>
      </c>
      <c r="C19" t="inlineStr">
        <is>
          <t>Plant 03</t>
        </is>
      </c>
      <c r="D19" t="inlineStr">
        <is>
          <t>2026-07</t>
        </is>
      </c>
      <c r="E19" t="n">
        <v>225.4</v>
      </c>
      <c r="F19" t="n">
        <v>744</v>
      </c>
      <c r="G19" t="n">
        <v>738</v>
      </c>
      <c r="H19" t="n">
        <v>697.8</v>
      </c>
      <c r="I19" t="n">
        <v>30.6</v>
      </c>
      <c r="J19" t="n">
        <v>166345</v>
      </c>
      <c r="K19" t="n">
        <v>167698</v>
      </c>
      <c r="L19" t="n">
        <v>143590</v>
      </c>
      <c r="M19" t="n">
        <v>147553</v>
      </c>
      <c r="N19" t="n">
        <v>141110</v>
      </c>
      <c r="O19" t="n">
        <v>155709</v>
      </c>
      <c r="P19" t="n">
        <v>36133</v>
      </c>
      <c r="Q19" t="n">
        <v>30890</v>
      </c>
      <c r="R19" t="n">
        <v>6897</v>
      </c>
      <c r="S19" t="n">
        <v>4</v>
      </c>
      <c r="T19" t="n">
        <v>21.8</v>
      </c>
      <c r="U19" t="n">
        <v>31</v>
      </c>
      <c r="V19" t="n">
        <v>30</v>
      </c>
      <c r="W19" t="n">
        <v>381458.3</v>
      </c>
      <c r="X19" t="n">
        <v>92438.5</v>
      </c>
      <c r="Y19" t="n">
        <v>906.9</v>
      </c>
      <c r="Z19" t="n">
        <v>353704</v>
      </c>
      <c r="AA19" t="n">
        <v>77990</v>
      </c>
      <c r="AB19" t="n">
        <v>471001</v>
      </c>
      <c r="AC19" t="n">
        <v>2225</v>
      </c>
      <c r="AD19" t="n">
        <v>0</v>
      </c>
      <c r="AE19" t="n">
        <v>88000</v>
      </c>
      <c r="AF19" t="n">
        <v>1</v>
      </c>
      <c r="AG19" t="n">
        <v>0</v>
      </c>
      <c r="AH19" t="n">
        <v>4</v>
      </c>
      <c r="AI19" t="n">
        <v>0</v>
      </c>
      <c r="AJ19" t="n">
        <v>0</v>
      </c>
      <c r="AK19" t="n">
        <v>0</v>
      </c>
      <c r="AL19" t="n">
        <v>13</v>
      </c>
      <c r="AM19" t="n">
        <v>4</v>
      </c>
      <c r="AN19" t="n">
        <v>0</v>
      </c>
      <c r="AO19" t="n">
        <v>0</v>
      </c>
      <c r="AP19" t="n">
        <v>1</v>
      </c>
      <c r="AQ19" t="n">
        <v>146</v>
      </c>
      <c r="AR19" t="n">
        <v>12</v>
      </c>
      <c r="AS19" t="n">
        <v>128</v>
      </c>
      <c r="AT19">
        <f>ROUND(100*N19/L19,2)</f>
        <v/>
      </c>
      <c r="AU19">
        <f>ROUND(100*N19/K19,2)</f>
        <v/>
      </c>
      <c r="AV19">
        <f>ROUND(100*H19/F19,2)</f>
        <v/>
      </c>
      <c r="AW19">
        <f>ROUND(100*N19/J19,2)</f>
        <v/>
      </c>
      <c r="AX19">
        <f>ROUND(100*Q19/P19,2)</f>
        <v/>
      </c>
      <c r="AY19">
        <f>ROUND(100*N19/O19,2)</f>
        <v/>
      </c>
      <c r="AZ19">
        <f>ROUND(H19/S19,2)</f>
        <v/>
      </c>
      <c r="BA19">
        <f>ROUND(T19/S19,2)</f>
        <v/>
      </c>
      <c r="BB19">
        <f>ROUND(I19,2)</f>
        <v/>
      </c>
      <c r="BC19">
        <f>ROUND(R19,2)</f>
        <v/>
      </c>
      <c r="BD19">
        <f>ROUND(100*V19/U19,2)</f>
        <v/>
      </c>
      <c r="BE19">
        <f>ROUND(1000*(W19+Y19)/N19,2)</f>
        <v/>
      </c>
      <c r="BF19">
        <f>ROUND(W19,2)</f>
        <v/>
      </c>
      <c r="BG19">
        <f>ROUND(X19,2)</f>
        <v/>
      </c>
      <c r="BH19">
        <f>ROUND(Z19,2)</f>
        <v/>
      </c>
      <c r="BI19">
        <f>ROUND(AA19,2)</f>
        <v/>
      </c>
      <c r="BJ19">
        <f>ROUND(AB19/N19,2)</f>
        <v/>
      </c>
      <c r="BK19">
        <f>ROUND(AC19,2)</f>
        <v/>
      </c>
      <c r="BL19">
        <f>ROUND(AD19,2)</f>
        <v/>
      </c>
      <c r="BM19">
        <f>ROUND(AP19,2)</f>
        <v/>
      </c>
      <c r="BN19">
        <f>ROUND(100*AR19/AQ19,2)</f>
        <v/>
      </c>
      <c r="BO19">
        <f>ROUND(AK19,2)</f>
        <v/>
      </c>
      <c r="BP19">
        <f>ROUND(200000*AF19/AE19,2)</f>
        <v/>
      </c>
      <c r="BQ19">
        <f>ROUND(AG19,2)</f>
        <v/>
      </c>
      <c r="BR19">
        <f>ROUND(AH19,2)</f>
        <v/>
      </c>
      <c r="BS19">
        <f>ROUND(AI19,2)</f>
        <v/>
      </c>
      <c r="BT19">
        <f>ROUND(AJ19,2)</f>
        <v/>
      </c>
      <c r="BU19">
        <f>ROUND(AL19,2)</f>
        <v/>
      </c>
      <c r="BV19">
        <f>ROUND(AM19,2)</f>
        <v/>
      </c>
      <c r="BW19">
        <f>ROUND(IF(AN19=0,100,100*AO19/AN19),2)</f>
        <v/>
      </c>
      <c r="BX19">
        <f>ROUND(AS19,2)</f>
        <v/>
      </c>
    </row>
    <row r="20">
      <c r="A20" t="inlineStr">
        <is>
          <t>Group</t>
        </is>
      </c>
      <c r="B20" t="inlineStr">
        <is>
          <t>Entity A1</t>
        </is>
      </c>
      <c r="C20" t="inlineStr">
        <is>
          <t>Plant 03</t>
        </is>
      </c>
      <c r="D20" t="inlineStr">
        <is>
          <t>2026-08</t>
        </is>
      </c>
      <c r="E20" t="n">
        <v>225.4</v>
      </c>
      <c r="F20" t="n">
        <v>744</v>
      </c>
      <c r="G20" t="n">
        <v>744</v>
      </c>
      <c r="H20" t="n">
        <v>711.9</v>
      </c>
      <c r="I20" t="n">
        <v>23.6</v>
      </c>
      <c r="J20" t="n">
        <v>167698</v>
      </c>
      <c r="K20" t="n">
        <v>167698</v>
      </c>
      <c r="L20" t="n">
        <v>151538</v>
      </c>
      <c r="M20" t="n">
        <v>142073</v>
      </c>
      <c r="N20" t="n">
        <v>138449</v>
      </c>
      <c r="O20" t="n">
        <v>150347</v>
      </c>
      <c r="P20" t="n">
        <v>34297</v>
      </c>
      <c r="Q20" t="n">
        <v>30571</v>
      </c>
      <c r="R20" t="n">
        <v>5319</v>
      </c>
      <c r="S20" t="n">
        <v>4</v>
      </c>
      <c r="T20" t="n">
        <v>21</v>
      </c>
      <c r="U20" t="n">
        <v>44</v>
      </c>
      <c r="V20" t="n">
        <v>44</v>
      </c>
      <c r="W20" t="n">
        <v>423777.7</v>
      </c>
      <c r="X20" t="n">
        <v>129686.6</v>
      </c>
      <c r="Y20" t="n">
        <v>1205.6</v>
      </c>
      <c r="Z20" t="n">
        <v>316694</v>
      </c>
      <c r="AA20" t="n">
        <v>99207</v>
      </c>
      <c r="AB20" t="n">
        <v>471761</v>
      </c>
      <c r="AC20" t="n">
        <v>13634</v>
      </c>
      <c r="AD20" t="n">
        <v>2</v>
      </c>
      <c r="AE20" t="n">
        <v>68000</v>
      </c>
      <c r="AF20" t="n">
        <v>1</v>
      </c>
      <c r="AG20" t="n">
        <v>0</v>
      </c>
      <c r="AH20" t="n">
        <v>8</v>
      </c>
      <c r="AI20" t="n">
        <v>0</v>
      </c>
      <c r="AJ20" t="n">
        <v>0</v>
      </c>
      <c r="AK20" t="n">
        <v>0</v>
      </c>
      <c r="AL20" t="n">
        <v>5</v>
      </c>
      <c r="AM20" t="n">
        <v>0</v>
      </c>
      <c r="AN20" t="n">
        <v>2</v>
      </c>
      <c r="AO20" t="n">
        <v>1</v>
      </c>
      <c r="AP20" t="n">
        <v>1</v>
      </c>
      <c r="AQ20" t="n">
        <v>123</v>
      </c>
      <c r="AR20" t="n">
        <v>4</v>
      </c>
      <c r="AS20" t="n">
        <v>98</v>
      </c>
      <c r="AT20">
        <f>ROUND(100*N20/L20,2)</f>
        <v/>
      </c>
      <c r="AU20">
        <f>ROUND(100*N20/K20,2)</f>
        <v/>
      </c>
      <c r="AV20">
        <f>ROUND(100*H20/F20,2)</f>
        <v/>
      </c>
      <c r="AW20">
        <f>ROUND(100*N20/J20,2)</f>
        <v/>
      </c>
      <c r="AX20">
        <f>ROUND(100*Q20/P20,2)</f>
        <v/>
      </c>
      <c r="AY20">
        <f>ROUND(100*N20/O20,2)</f>
        <v/>
      </c>
      <c r="AZ20">
        <f>ROUND(H20/S20,2)</f>
        <v/>
      </c>
      <c r="BA20">
        <f>ROUND(T20/S20,2)</f>
        <v/>
      </c>
      <c r="BB20">
        <f>ROUND(I20,2)</f>
        <v/>
      </c>
      <c r="BC20">
        <f>ROUND(R20,2)</f>
        <v/>
      </c>
      <c r="BD20">
        <f>ROUND(100*V20/U20,2)</f>
        <v/>
      </c>
      <c r="BE20">
        <f>ROUND(1000*(W20+Y20)/N20,2)</f>
        <v/>
      </c>
      <c r="BF20">
        <f>ROUND(W20,2)</f>
        <v/>
      </c>
      <c r="BG20">
        <f>ROUND(X20,2)</f>
        <v/>
      </c>
      <c r="BH20">
        <f>ROUND(Z20,2)</f>
        <v/>
      </c>
      <c r="BI20">
        <f>ROUND(AA20,2)</f>
        <v/>
      </c>
      <c r="BJ20">
        <f>ROUND(AB20/N20,2)</f>
        <v/>
      </c>
      <c r="BK20">
        <f>ROUND(AC20,2)</f>
        <v/>
      </c>
      <c r="BL20">
        <f>ROUND(AD20,2)</f>
        <v/>
      </c>
      <c r="BM20">
        <f>ROUND(AP20,2)</f>
        <v/>
      </c>
      <c r="BN20">
        <f>ROUND(100*AR20/AQ20,2)</f>
        <v/>
      </c>
      <c r="BO20">
        <f>ROUND(AK20,2)</f>
        <v/>
      </c>
      <c r="BP20">
        <f>ROUND(200000*AF20/AE20,2)</f>
        <v/>
      </c>
      <c r="BQ20">
        <f>ROUND(AG20,2)</f>
        <v/>
      </c>
      <c r="BR20">
        <f>ROUND(AH20,2)</f>
        <v/>
      </c>
      <c r="BS20">
        <f>ROUND(AI20,2)</f>
        <v/>
      </c>
      <c r="BT20">
        <f>ROUND(AJ20,2)</f>
        <v/>
      </c>
      <c r="BU20">
        <f>ROUND(AL20,2)</f>
        <v/>
      </c>
      <c r="BV20">
        <f>ROUND(AM20,2)</f>
        <v/>
      </c>
      <c r="BW20">
        <f>ROUND(IF(AN20=0,100,100*AO20/AN20),2)</f>
        <v/>
      </c>
      <c r="BX20">
        <f>ROUND(AS20,2)</f>
        <v/>
      </c>
    </row>
    <row r="21">
      <c r="A21" t="inlineStr">
        <is>
          <t>Group</t>
        </is>
      </c>
      <c r="B21" t="inlineStr">
        <is>
          <t>Entity A1</t>
        </is>
      </c>
      <c r="C21" t="inlineStr">
        <is>
          <t>Plant 03</t>
        </is>
      </c>
      <c r="D21" t="inlineStr">
        <is>
          <t>2026-09</t>
        </is>
      </c>
      <c r="E21" t="n">
        <v>225.4</v>
      </c>
      <c r="F21" t="n">
        <v>720</v>
      </c>
      <c r="G21" t="n">
        <v>719</v>
      </c>
      <c r="H21" t="n">
        <v>695.4</v>
      </c>
      <c r="I21" t="n">
        <v>12.3</v>
      </c>
      <c r="J21" t="n">
        <v>162063</v>
      </c>
      <c r="K21" t="n">
        <v>162288</v>
      </c>
      <c r="L21" t="n">
        <v>140379</v>
      </c>
      <c r="M21" t="n">
        <v>145600</v>
      </c>
      <c r="N21" t="n">
        <v>139711</v>
      </c>
      <c r="O21" t="n">
        <v>154604</v>
      </c>
      <c r="P21" t="n">
        <v>36789</v>
      </c>
      <c r="Q21" t="n">
        <v>31527</v>
      </c>
      <c r="R21" t="n">
        <v>2772</v>
      </c>
      <c r="S21" t="n">
        <v>2</v>
      </c>
      <c r="T21" t="n">
        <v>8.800000000000001</v>
      </c>
      <c r="U21" t="n">
        <v>58</v>
      </c>
      <c r="V21" t="n">
        <v>58</v>
      </c>
      <c r="W21" t="n">
        <v>365860.2</v>
      </c>
      <c r="X21" t="n">
        <v>97272</v>
      </c>
      <c r="Y21" t="n">
        <v>1454.1</v>
      </c>
      <c r="Z21" t="n">
        <v>346844</v>
      </c>
      <c r="AA21" t="n">
        <v>91566</v>
      </c>
      <c r="AB21" t="n">
        <v>496742</v>
      </c>
      <c r="AC21" t="n">
        <v>2939</v>
      </c>
      <c r="AD21" t="n">
        <v>1</v>
      </c>
      <c r="AE21" t="n">
        <v>69000</v>
      </c>
      <c r="AF21" t="n">
        <v>1</v>
      </c>
      <c r="AG21" t="n">
        <v>0</v>
      </c>
      <c r="AH21" t="n">
        <v>9</v>
      </c>
      <c r="AI21" t="n">
        <v>0</v>
      </c>
      <c r="AJ21" t="n">
        <v>0</v>
      </c>
      <c r="AK21" t="n">
        <v>0</v>
      </c>
      <c r="AL21" t="n">
        <v>8</v>
      </c>
      <c r="AM21" t="n">
        <v>2</v>
      </c>
      <c r="AN21" t="n">
        <v>0</v>
      </c>
      <c r="AO21" t="n">
        <v>0</v>
      </c>
      <c r="AP21" t="n">
        <v>1</v>
      </c>
      <c r="AQ21" t="n">
        <v>214</v>
      </c>
      <c r="AR21" t="n">
        <v>16</v>
      </c>
      <c r="AS21" t="n">
        <v>68</v>
      </c>
      <c r="AT21">
        <f>ROUND(100*N21/L21,2)</f>
        <v/>
      </c>
      <c r="AU21">
        <f>ROUND(100*N21/K21,2)</f>
        <v/>
      </c>
      <c r="AV21">
        <f>ROUND(100*H21/F21,2)</f>
        <v/>
      </c>
      <c r="AW21">
        <f>ROUND(100*N21/J21,2)</f>
        <v/>
      </c>
      <c r="AX21">
        <f>ROUND(100*Q21/P21,2)</f>
        <v/>
      </c>
      <c r="AY21">
        <f>ROUND(100*N21/O21,2)</f>
        <v/>
      </c>
      <c r="AZ21">
        <f>ROUND(H21/S21,2)</f>
        <v/>
      </c>
      <c r="BA21">
        <f>ROUND(T21/S21,2)</f>
        <v/>
      </c>
      <c r="BB21">
        <f>ROUND(I21,2)</f>
        <v/>
      </c>
      <c r="BC21">
        <f>ROUND(R21,2)</f>
        <v/>
      </c>
      <c r="BD21">
        <f>ROUND(100*V21/U21,2)</f>
        <v/>
      </c>
      <c r="BE21">
        <f>ROUND(1000*(W21+Y21)/N21,2)</f>
        <v/>
      </c>
      <c r="BF21">
        <f>ROUND(W21,2)</f>
        <v/>
      </c>
      <c r="BG21">
        <f>ROUND(X21,2)</f>
        <v/>
      </c>
      <c r="BH21">
        <f>ROUND(Z21,2)</f>
        <v/>
      </c>
      <c r="BI21">
        <f>ROUND(AA21,2)</f>
        <v/>
      </c>
      <c r="BJ21">
        <f>ROUND(AB21/N21,2)</f>
        <v/>
      </c>
      <c r="BK21">
        <f>ROUND(AC21,2)</f>
        <v/>
      </c>
      <c r="BL21">
        <f>ROUND(AD21,2)</f>
        <v/>
      </c>
      <c r="BM21">
        <f>ROUND(AP21,2)</f>
        <v/>
      </c>
      <c r="BN21">
        <f>ROUND(100*AR21/AQ21,2)</f>
        <v/>
      </c>
      <c r="BO21">
        <f>ROUND(AK21,2)</f>
        <v/>
      </c>
      <c r="BP21">
        <f>ROUND(200000*AF21/AE21,2)</f>
        <v/>
      </c>
      <c r="BQ21">
        <f>ROUND(AG21,2)</f>
        <v/>
      </c>
      <c r="BR21">
        <f>ROUND(AH21,2)</f>
        <v/>
      </c>
      <c r="BS21">
        <f>ROUND(AI21,2)</f>
        <v/>
      </c>
      <c r="BT21">
        <f>ROUND(AJ21,2)</f>
        <v/>
      </c>
      <c r="BU21">
        <f>ROUND(AL21,2)</f>
        <v/>
      </c>
      <c r="BV21">
        <f>ROUND(AM21,2)</f>
        <v/>
      </c>
      <c r="BW21">
        <f>ROUND(IF(AN21=0,100,100*AO21/AN21),2)</f>
        <v/>
      </c>
      <c r="BX21">
        <f>ROUND(AS21,2)</f>
        <v/>
      </c>
    </row>
    <row r="22">
      <c r="A22" t="inlineStr">
        <is>
          <t>Group</t>
        </is>
      </c>
      <c r="B22" t="inlineStr">
        <is>
          <t>Entity A2</t>
        </is>
      </c>
      <c r="C22" t="inlineStr">
        <is>
          <t>Plant 04</t>
        </is>
      </c>
      <c r="D22" t="inlineStr">
        <is>
          <t>2026-04</t>
        </is>
      </c>
      <c r="E22" t="n">
        <v>126.8</v>
      </c>
      <c r="F22" t="n">
        <v>720</v>
      </c>
      <c r="G22" t="n">
        <v>717</v>
      </c>
      <c r="H22" t="n">
        <v>688.4</v>
      </c>
      <c r="I22" t="n">
        <v>13.3</v>
      </c>
      <c r="J22" t="n">
        <v>90916</v>
      </c>
      <c r="K22" t="n">
        <v>91296</v>
      </c>
      <c r="L22" t="n">
        <v>79171</v>
      </c>
      <c r="M22" t="n">
        <v>79525</v>
      </c>
      <c r="N22" t="n">
        <v>77084</v>
      </c>
      <c r="O22" t="n">
        <v>83058</v>
      </c>
      <c r="P22" t="n">
        <v>18101</v>
      </c>
      <c r="Q22" t="n">
        <v>16015</v>
      </c>
      <c r="R22" t="n">
        <v>1686</v>
      </c>
      <c r="S22" t="n">
        <v>2</v>
      </c>
      <c r="T22" t="n">
        <v>6.8</v>
      </c>
      <c r="U22" t="n">
        <v>46</v>
      </c>
      <c r="V22" t="n">
        <v>43</v>
      </c>
      <c r="W22" t="n">
        <v>238202.9</v>
      </c>
      <c r="X22" t="n">
        <v>62768.6</v>
      </c>
      <c r="Y22" t="n">
        <v>1114.8</v>
      </c>
      <c r="Z22" t="n">
        <v>186852</v>
      </c>
      <c r="AA22" t="n">
        <v>47773</v>
      </c>
      <c r="AB22" t="n">
        <v>263207</v>
      </c>
      <c r="AC22" t="n">
        <v>29</v>
      </c>
      <c r="AD22" t="n">
        <v>0</v>
      </c>
      <c r="AE22" t="n">
        <v>82000</v>
      </c>
      <c r="AF22" t="n">
        <v>0</v>
      </c>
      <c r="AG22" t="n">
        <v>0</v>
      </c>
      <c r="AH22" t="n">
        <v>5</v>
      </c>
      <c r="AI22" t="n">
        <v>0</v>
      </c>
      <c r="AJ22" t="n">
        <v>0</v>
      </c>
      <c r="AK22" t="n">
        <v>0</v>
      </c>
      <c r="AL22" t="n">
        <v>14</v>
      </c>
      <c r="AM22" t="n">
        <v>4</v>
      </c>
      <c r="AN22" t="n">
        <v>2</v>
      </c>
      <c r="AO22" t="n">
        <v>1</v>
      </c>
      <c r="AP22" t="n">
        <v>2</v>
      </c>
      <c r="AQ22" t="n">
        <v>243</v>
      </c>
      <c r="AR22" t="n">
        <v>21</v>
      </c>
      <c r="AS22" t="n">
        <v>369</v>
      </c>
      <c r="AT22">
        <f>ROUND(100*N22/L22,2)</f>
        <v/>
      </c>
      <c r="AU22">
        <f>ROUND(100*N22/K22,2)</f>
        <v/>
      </c>
      <c r="AV22">
        <f>ROUND(100*H22/F22,2)</f>
        <v/>
      </c>
      <c r="AW22">
        <f>ROUND(100*N22/J22,2)</f>
        <v/>
      </c>
      <c r="AX22">
        <f>ROUND(100*Q22/P22,2)</f>
        <v/>
      </c>
      <c r="AY22">
        <f>ROUND(100*N22/O22,2)</f>
        <v/>
      </c>
      <c r="AZ22">
        <f>ROUND(H22/S22,2)</f>
        <v/>
      </c>
      <c r="BA22">
        <f>ROUND(T22/S22,2)</f>
        <v/>
      </c>
      <c r="BB22">
        <f>ROUND(I22,2)</f>
        <v/>
      </c>
      <c r="BC22">
        <f>ROUND(R22,2)</f>
        <v/>
      </c>
      <c r="BD22">
        <f>ROUND(100*V22/U22,2)</f>
        <v/>
      </c>
      <c r="BE22">
        <f>ROUND(1000*(W22+Y22)/N22,2)</f>
        <v/>
      </c>
      <c r="BF22">
        <f>ROUND(W22,2)</f>
        <v/>
      </c>
      <c r="BG22">
        <f>ROUND(X22,2)</f>
        <v/>
      </c>
      <c r="BH22">
        <f>ROUND(Z22,2)</f>
        <v/>
      </c>
      <c r="BI22">
        <f>ROUND(AA22,2)</f>
        <v/>
      </c>
      <c r="BJ22">
        <f>ROUND(AB22/N22,2)</f>
        <v/>
      </c>
      <c r="BK22">
        <f>ROUND(AC22,2)</f>
        <v/>
      </c>
      <c r="BL22">
        <f>ROUND(AD22,2)</f>
        <v/>
      </c>
      <c r="BM22">
        <f>ROUND(AP22,2)</f>
        <v/>
      </c>
      <c r="BN22">
        <f>ROUND(100*AR22/AQ22,2)</f>
        <v/>
      </c>
      <c r="BO22">
        <f>ROUND(AK22,2)</f>
        <v/>
      </c>
      <c r="BP22">
        <f>ROUND(200000*AF22/AE22,2)</f>
        <v/>
      </c>
      <c r="BQ22">
        <f>ROUND(AG22,2)</f>
        <v/>
      </c>
      <c r="BR22">
        <f>ROUND(AH22,2)</f>
        <v/>
      </c>
      <c r="BS22">
        <f>ROUND(AI22,2)</f>
        <v/>
      </c>
      <c r="BT22">
        <f>ROUND(AJ22,2)</f>
        <v/>
      </c>
      <c r="BU22">
        <f>ROUND(AL22,2)</f>
        <v/>
      </c>
      <c r="BV22">
        <f>ROUND(AM22,2)</f>
        <v/>
      </c>
      <c r="BW22">
        <f>ROUND(IF(AN22=0,100,100*AO22/AN22),2)</f>
        <v/>
      </c>
      <c r="BX22">
        <f>ROUND(AS22,2)</f>
        <v/>
      </c>
    </row>
    <row r="23">
      <c r="A23" t="inlineStr">
        <is>
          <t>Group</t>
        </is>
      </c>
      <c r="B23" t="inlineStr">
        <is>
          <t>Entity A2</t>
        </is>
      </c>
      <c r="C23" t="inlineStr">
        <is>
          <t>Plant 04</t>
        </is>
      </c>
      <c r="D23" t="inlineStr">
        <is>
          <t>2026-05</t>
        </is>
      </c>
      <c r="E23" t="n">
        <v>126.8</v>
      </c>
      <c r="F23" t="n">
        <v>744</v>
      </c>
      <c r="G23" t="n">
        <v>744</v>
      </c>
      <c r="H23" t="n">
        <v>690.2</v>
      </c>
      <c r="I23" t="n">
        <v>40.9</v>
      </c>
      <c r="J23" t="n">
        <v>94339</v>
      </c>
      <c r="K23" t="n">
        <v>94339</v>
      </c>
      <c r="L23" t="n">
        <v>84525</v>
      </c>
      <c r="M23" t="n">
        <v>77136</v>
      </c>
      <c r="N23" t="n">
        <v>76321</v>
      </c>
      <c r="O23" t="n">
        <v>83199</v>
      </c>
      <c r="P23" t="n">
        <v>16003</v>
      </c>
      <c r="Q23" t="n">
        <v>14046</v>
      </c>
      <c r="R23" t="n">
        <v>5186</v>
      </c>
      <c r="S23" t="n">
        <v>4</v>
      </c>
      <c r="T23" t="n">
        <v>31.1</v>
      </c>
      <c r="U23" t="n">
        <v>39</v>
      </c>
      <c r="V23" t="n">
        <v>39</v>
      </c>
      <c r="W23" t="n">
        <v>233996.7</v>
      </c>
      <c r="X23" t="n">
        <v>64991.9</v>
      </c>
      <c r="Y23" t="n">
        <v>1447.4</v>
      </c>
      <c r="Z23" t="n">
        <v>165220</v>
      </c>
      <c r="AA23" t="n">
        <v>55497</v>
      </c>
      <c r="AB23" t="n">
        <v>234243</v>
      </c>
      <c r="AC23" t="n">
        <v>10015</v>
      </c>
      <c r="AD23" t="n">
        <v>0</v>
      </c>
      <c r="AE23" t="n">
        <v>78000</v>
      </c>
      <c r="AF23" t="n">
        <v>2</v>
      </c>
      <c r="AG23" t="n">
        <v>0</v>
      </c>
      <c r="AH23" t="n">
        <v>8</v>
      </c>
      <c r="AI23" t="n">
        <v>0</v>
      </c>
      <c r="AJ23" t="n">
        <v>0</v>
      </c>
      <c r="AK23" t="n">
        <v>0</v>
      </c>
      <c r="AL23" t="n">
        <v>14</v>
      </c>
      <c r="AM23" t="n">
        <v>4</v>
      </c>
      <c r="AN23" t="n">
        <v>1</v>
      </c>
      <c r="AO23" t="n">
        <v>1</v>
      </c>
      <c r="AP23" t="n">
        <v>2</v>
      </c>
      <c r="AQ23" t="n">
        <v>142</v>
      </c>
      <c r="AR23" t="n">
        <v>12</v>
      </c>
      <c r="AS23" t="n">
        <v>339</v>
      </c>
      <c r="AT23">
        <f>ROUND(100*N23/L23,2)</f>
        <v/>
      </c>
      <c r="AU23">
        <f>ROUND(100*N23/K23,2)</f>
        <v/>
      </c>
      <c r="AV23">
        <f>ROUND(100*H23/F23,2)</f>
        <v/>
      </c>
      <c r="AW23">
        <f>ROUND(100*N23/J23,2)</f>
        <v/>
      </c>
      <c r="AX23">
        <f>ROUND(100*Q23/P23,2)</f>
        <v/>
      </c>
      <c r="AY23">
        <f>ROUND(100*N23/O23,2)</f>
        <v/>
      </c>
      <c r="AZ23">
        <f>ROUND(H23/S23,2)</f>
        <v/>
      </c>
      <c r="BA23">
        <f>ROUND(T23/S23,2)</f>
        <v/>
      </c>
      <c r="BB23">
        <f>ROUND(I23,2)</f>
        <v/>
      </c>
      <c r="BC23">
        <f>ROUND(R23,2)</f>
        <v/>
      </c>
      <c r="BD23">
        <f>ROUND(100*V23/U23,2)</f>
        <v/>
      </c>
      <c r="BE23">
        <f>ROUND(1000*(W23+Y23)/N23,2)</f>
        <v/>
      </c>
      <c r="BF23">
        <f>ROUND(W23,2)</f>
        <v/>
      </c>
      <c r="BG23">
        <f>ROUND(X23,2)</f>
        <v/>
      </c>
      <c r="BH23">
        <f>ROUND(Z23,2)</f>
        <v/>
      </c>
      <c r="BI23">
        <f>ROUND(AA23,2)</f>
        <v/>
      </c>
      <c r="BJ23">
        <f>ROUND(AB23/N23,2)</f>
        <v/>
      </c>
      <c r="BK23">
        <f>ROUND(AC23,2)</f>
        <v/>
      </c>
      <c r="BL23">
        <f>ROUND(AD23,2)</f>
        <v/>
      </c>
      <c r="BM23">
        <f>ROUND(AP23,2)</f>
        <v/>
      </c>
      <c r="BN23">
        <f>ROUND(100*AR23/AQ23,2)</f>
        <v/>
      </c>
      <c r="BO23">
        <f>ROUND(AK23,2)</f>
        <v/>
      </c>
      <c r="BP23">
        <f>ROUND(200000*AF23/AE23,2)</f>
        <v/>
      </c>
      <c r="BQ23">
        <f>ROUND(AG23,2)</f>
        <v/>
      </c>
      <c r="BR23">
        <f>ROUND(AH23,2)</f>
        <v/>
      </c>
      <c r="BS23">
        <f>ROUND(AI23,2)</f>
        <v/>
      </c>
      <c r="BT23">
        <f>ROUND(AJ23,2)</f>
        <v/>
      </c>
      <c r="BU23">
        <f>ROUND(AL23,2)</f>
        <v/>
      </c>
      <c r="BV23">
        <f>ROUND(AM23,2)</f>
        <v/>
      </c>
      <c r="BW23">
        <f>ROUND(IF(AN23=0,100,100*AO23/AN23),2)</f>
        <v/>
      </c>
      <c r="BX23">
        <f>ROUND(AS23,2)</f>
        <v/>
      </c>
    </row>
    <row r="24">
      <c r="A24" t="inlineStr">
        <is>
          <t>Group</t>
        </is>
      </c>
      <c r="B24" t="inlineStr">
        <is>
          <t>Entity A2</t>
        </is>
      </c>
      <c r="C24" t="inlineStr">
        <is>
          <t>Plant 04</t>
        </is>
      </c>
      <c r="D24" t="inlineStr">
        <is>
          <t>2026-06</t>
        </is>
      </c>
      <c r="E24" t="n">
        <v>126.8</v>
      </c>
      <c r="F24" t="n">
        <v>720</v>
      </c>
      <c r="G24" t="n">
        <v>715</v>
      </c>
      <c r="H24" t="n">
        <v>673.8</v>
      </c>
      <c r="I24" t="n">
        <v>33.6</v>
      </c>
      <c r="J24" t="n">
        <v>90662</v>
      </c>
      <c r="K24" t="n">
        <v>91296</v>
      </c>
      <c r="L24" t="n">
        <v>81891</v>
      </c>
      <c r="M24" t="n">
        <v>77095</v>
      </c>
      <c r="N24" t="n">
        <v>75177</v>
      </c>
      <c r="O24" t="n">
        <v>82906</v>
      </c>
      <c r="P24" t="n">
        <v>14930</v>
      </c>
      <c r="Q24" t="n">
        <v>13568</v>
      </c>
      <c r="R24" t="n">
        <v>4260</v>
      </c>
      <c r="S24" t="n">
        <v>3</v>
      </c>
      <c r="T24" t="n">
        <v>25.4</v>
      </c>
      <c r="U24" t="n">
        <v>57</v>
      </c>
      <c r="V24" t="n">
        <v>54</v>
      </c>
      <c r="W24" t="n">
        <v>245128.1</v>
      </c>
      <c r="X24" t="n">
        <v>77698.3</v>
      </c>
      <c r="Y24" t="n">
        <v>915.1</v>
      </c>
      <c r="Z24" t="n">
        <v>135852</v>
      </c>
      <c r="AA24" t="n">
        <v>41790</v>
      </c>
      <c r="AB24" t="n">
        <v>240232</v>
      </c>
      <c r="AC24" t="n">
        <v>6867</v>
      </c>
      <c r="AD24" t="n">
        <v>0</v>
      </c>
      <c r="AE24" t="n">
        <v>61000</v>
      </c>
      <c r="AF24" t="n">
        <v>0</v>
      </c>
      <c r="AG24" t="n">
        <v>0</v>
      </c>
      <c r="AH24" t="n">
        <v>11</v>
      </c>
      <c r="AI24" t="n">
        <v>0</v>
      </c>
      <c r="AJ24" t="n">
        <v>0</v>
      </c>
      <c r="AK24" t="n">
        <v>0</v>
      </c>
      <c r="AL24" t="n">
        <v>7</v>
      </c>
      <c r="AM24" t="n">
        <v>1</v>
      </c>
      <c r="AN24" t="n">
        <v>2</v>
      </c>
      <c r="AO24" t="n">
        <v>2</v>
      </c>
      <c r="AP24" t="n">
        <v>0</v>
      </c>
      <c r="AQ24" t="n">
        <v>162</v>
      </c>
      <c r="AR24" t="n">
        <v>12</v>
      </c>
      <c r="AS24" t="n">
        <v>309</v>
      </c>
      <c r="AT24">
        <f>ROUND(100*N24/L24,2)</f>
        <v/>
      </c>
      <c r="AU24">
        <f>ROUND(100*N24/K24,2)</f>
        <v/>
      </c>
      <c r="AV24">
        <f>ROUND(100*H24/F24,2)</f>
        <v/>
      </c>
      <c r="AW24">
        <f>ROUND(100*N24/J24,2)</f>
        <v/>
      </c>
      <c r="AX24">
        <f>ROUND(100*Q24/P24,2)</f>
        <v/>
      </c>
      <c r="AY24">
        <f>ROUND(100*N24/O24,2)</f>
        <v/>
      </c>
      <c r="AZ24">
        <f>ROUND(H24/S24,2)</f>
        <v/>
      </c>
      <c r="BA24">
        <f>ROUND(T24/S24,2)</f>
        <v/>
      </c>
      <c r="BB24">
        <f>ROUND(I24,2)</f>
        <v/>
      </c>
      <c r="BC24">
        <f>ROUND(R24,2)</f>
        <v/>
      </c>
      <c r="BD24">
        <f>ROUND(100*V24/U24,2)</f>
        <v/>
      </c>
      <c r="BE24">
        <f>ROUND(1000*(W24+Y24)/N24,2)</f>
        <v/>
      </c>
      <c r="BF24">
        <f>ROUND(W24,2)</f>
        <v/>
      </c>
      <c r="BG24">
        <f>ROUND(X24,2)</f>
        <v/>
      </c>
      <c r="BH24">
        <f>ROUND(Z24,2)</f>
        <v/>
      </c>
      <c r="BI24">
        <f>ROUND(AA24,2)</f>
        <v/>
      </c>
      <c r="BJ24">
        <f>ROUND(AB24/N24,2)</f>
        <v/>
      </c>
      <c r="BK24">
        <f>ROUND(AC24,2)</f>
        <v/>
      </c>
      <c r="BL24">
        <f>ROUND(AD24,2)</f>
        <v/>
      </c>
      <c r="BM24">
        <f>ROUND(AP24,2)</f>
        <v/>
      </c>
      <c r="BN24">
        <f>ROUND(100*AR24/AQ24,2)</f>
        <v/>
      </c>
      <c r="BO24">
        <f>ROUND(AK24,2)</f>
        <v/>
      </c>
      <c r="BP24">
        <f>ROUND(200000*AF24/AE24,2)</f>
        <v/>
      </c>
      <c r="BQ24">
        <f>ROUND(AG24,2)</f>
        <v/>
      </c>
      <c r="BR24">
        <f>ROUND(AH24,2)</f>
        <v/>
      </c>
      <c r="BS24">
        <f>ROUND(AI24,2)</f>
        <v/>
      </c>
      <c r="BT24">
        <f>ROUND(AJ24,2)</f>
        <v/>
      </c>
      <c r="BU24">
        <f>ROUND(AL24,2)</f>
        <v/>
      </c>
      <c r="BV24">
        <f>ROUND(AM24,2)</f>
        <v/>
      </c>
      <c r="BW24">
        <f>ROUND(IF(AN24=0,100,100*AO24/AN24),2)</f>
        <v/>
      </c>
      <c r="BX24">
        <f>ROUND(AS24,2)</f>
        <v/>
      </c>
    </row>
    <row r="25">
      <c r="A25" t="inlineStr">
        <is>
          <t>Group</t>
        </is>
      </c>
      <c r="B25" t="inlineStr">
        <is>
          <t>Entity A2</t>
        </is>
      </c>
      <c r="C25" t="inlineStr">
        <is>
          <t>Plant 04</t>
        </is>
      </c>
      <c r="D25" t="inlineStr">
        <is>
          <t>2026-07</t>
        </is>
      </c>
      <c r="E25" t="n">
        <v>126.8</v>
      </c>
      <c r="F25" t="n">
        <v>744</v>
      </c>
      <c r="G25" t="n">
        <v>741</v>
      </c>
      <c r="H25" t="n">
        <v>708.1</v>
      </c>
      <c r="I25" t="n">
        <v>22</v>
      </c>
      <c r="J25" t="n">
        <v>93959</v>
      </c>
      <c r="K25" t="n">
        <v>94339</v>
      </c>
      <c r="L25" t="n">
        <v>82701</v>
      </c>
      <c r="M25" t="n">
        <v>79759</v>
      </c>
      <c r="N25" t="n">
        <v>77695</v>
      </c>
      <c r="O25" t="n">
        <v>82058</v>
      </c>
      <c r="P25" t="n">
        <v>17436</v>
      </c>
      <c r="Q25" t="n">
        <v>14929</v>
      </c>
      <c r="R25" t="n">
        <v>2790</v>
      </c>
      <c r="S25" t="n">
        <v>4</v>
      </c>
      <c r="T25" t="n">
        <v>15.4</v>
      </c>
      <c r="U25" t="n">
        <v>51</v>
      </c>
      <c r="V25" t="n">
        <v>49</v>
      </c>
      <c r="W25" t="n">
        <v>257344</v>
      </c>
      <c r="X25" t="n">
        <v>81305.8</v>
      </c>
      <c r="Y25" t="n">
        <v>1342.1</v>
      </c>
      <c r="Z25" t="n">
        <v>154581</v>
      </c>
      <c r="AA25" t="n">
        <v>45272</v>
      </c>
      <c r="AB25" t="n">
        <v>243309</v>
      </c>
      <c r="AC25" t="n">
        <v>5005</v>
      </c>
      <c r="AD25" t="n">
        <v>1</v>
      </c>
      <c r="AE25" t="n">
        <v>62000</v>
      </c>
      <c r="AF25" t="n">
        <v>0</v>
      </c>
      <c r="AG25" t="n">
        <v>1</v>
      </c>
      <c r="AH25" t="n">
        <v>4</v>
      </c>
      <c r="AI25" t="n">
        <v>0</v>
      </c>
      <c r="AJ25" t="n">
        <v>1</v>
      </c>
      <c r="AK25" t="n">
        <v>0</v>
      </c>
      <c r="AL25" t="n">
        <v>13</v>
      </c>
      <c r="AM25" t="n">
        <v>2</v>
      </c>
      <c r="AN25" t="n">
        <v>0</v>
      </c>
      <c r="AO25" t="n">
        <v>0</v>
      </c>
      <c r="AP25" t="n">
        <v>1</v>
      </c>
      <c r="AQ25" t="n">
        <v>184</v>
      </c>
      <c r="AR25" t="n">
        <v>16</v>
      </c>
      <c r="AS25" t="n">
        <v>279</v>
      </c>
      <c r="AT25">
        <f>ROUND(100*N25/L25,2)</f>
        <v/>
      </c>
      <c r="AU25">
        <f>ROUND(100*N25/K25,2)</f>
        <v/>
      </c>
      <c r="AV25">
        <f>ROUND(100*H25/F25,2)</f>
        <v/>
      </c>
      <c r="AW25">
        <f>ROUND(100*N25/J25,2)</f>
        <v/>
      </c>
      <c r="AX25">
        <f>ROUND(100*Q25/P25,2)</f>
        <v/>
      </c>
      <c r="AY25">
        <f>ROUND(100*N25/O25,2)</f>
        <v/>
      </c>
      <c r="AZ25">
        <f>ROUND(H25/S25,2)</f>
        <v/>
      </c>
      <c r="BA25">
        <f>ROUND(T25/S25,2)</f>
        <v/>
      </c>
      <c r="BB25">
        <f>ROUND(I25,2)</f>
        <v/>
      </c>
      <c r="BC25">
        <f>ROUND(R25,2)</f>
        <v/>
      </c>
      <c r="BD25">
        <f>ROUND(100*V25/U25,2)</f>
        <v/>
      </c>
      <c r="BE25">
        <f>ROUND(1000*(W25+Y25)/N25,2)</f>
        <v/>
      </c>
      <c r="BF25">
        <f>ROUND(W25,2)</f>
        <v/>
      </c>
      <c r="BG25">
        <f>ROUND(X25,2)</f>
        <v/>
      </c>
      <c r="BH25">
        <f>ROUND(Z25,2)</f>
        <v/>
      </c>
      <c r="BI25">
        <f>ROUND(AA25,2)</f>
        <v/>
      </c>
      <c r="BJ25">
        <f>ROUND(AB25/N25,2)</f>
        <v/>
      </c>
      <c r="BK25">
        <f>ROUND(AC25,2)</f>
        <v/>
      </c>
      <c r="BL25">
        <f>ROUND(AD25,2)</f>
        <v/>
      </c>
      <c r="BM25">
        <f>ROUND(AP25,2)</f>
        <v/>
      </c>
      <c r="BN25">
        <f>ROUND(100*AR25/AQ25,2)</f>
        <v/>
      </c>
      <c r="BO25">
        <f>ROUND(AK25,2)</f>
        <v/>
      </c>
      <c r="BP25">
        <f>ROUND(200000*AF25/AE25,2)</f>
        <v/>
      </c>
      <c r="BQ25">
        <f>ROUND(AG25,2)</f>
        <v/>
      </c>
      <c r="BR25">
        <f>ROUND(AH25,2)</f>
        <v/>
      </c>
      <c r="BS25">
        <f>ROUND(AI25,2)</f>
        <v/>
      </c>
      <c r="BT25">
        <f>ROUND(AJ25,2)</f>
        <v/>
      </c>
      <c r="BU25">
        <f>ROUND(AL25,2)</f>
        <v/>
      </c>
      <c r="BV25">
        <f>ROUND(AM25,2)</f>
        <v/>
      </c>
      <c r="BW25">
        <f>ROUND(IF(AN25=0,100,100*AO25/AN25),2)</f>
        <v/>
      </c>
      <c r="BX25">
        <f>ROUND(AS25,2)</f>
        <v/>
      </c>
    </row>
    <row r="26">
      <c r="A26" t="inlineStr">
        <is>
          <t>Group</t>
        </is>
      </c>
      <c r="B26" t="inlineStr">
        <is>
          <t>Entity A2</t>
        </is>
      </c>
      <c r="C26" t="inlineStr">
        <is>
          <t>Plant 04</t>
        </is>
      </c>
      <c r="D26" t="inlineStr">
        <is>
          <t>2026-08</t>
        </is>
      </c>
      <c r="E26" t="n">
        <v>126.8</v>
      </c>
      <c r="F26" t="n">
        <v>744</v>
      </c>
      <c r="G26" t="n">
        <v>679</v>
      </c>
      <c r="H26" t="n">
        <v>649.4</v>
      </c>
      <c r="I26" t="n">
        <v>9.4</v>
      </c>
      <c r="J26" t="n">
        <v>86097</v>
      </c>
      <c r="K26" t="n">
        <v>94339</v>
      </c>
      <c r="L26" t="n">
        <v>76728</v>
      </c>
      <c r="M26" t="n">
        <v>78482</v>
      </c>
      <c r="N26" t="n">
        <v>77594</v>
      </c>
      <c r="O26" t="n">
        <v>84729</v>
      </c>
      <c r="P26" t="n">
        <v>18910</v>
      </c>
      <c r="Q26" t="n">
        <v>16857</v>
      </c>
      <c r="R26" t="n">
        <v>1192</v>
      </c>
      <c r="S26" t="n">
        <v>1</v>
      </c>
      <c r="T26" t="n">
        <v>4.1</v>
      </c>
      <c r="U26" t="n">
        <v>34</v>
      </c>
      <c r="V26" t="n">
        <v>33</v>
      </c>
      <c r="W26" t="n">
        <v>220843.7</v>
      </c>
      <c r="X26" t="n">
        <v>64490.9</v>
      </c>
      <c r="Y26" t="n">
        <v>1234.9</v>
      </c>
      <c r="Z26" t="n">
        <v>184195</v>
      </c>
      <c r="AA26" t="n">
        <v>53673</v>
      </c>
      <c r="AB26" t="n">
        <v>235582</v>
      </c>
      <c r="AC26" t="n">
        <v>806</v>
      </c>
      <c r="AD26" t="n">
        <v>0</v>
      </c>
      <c r="AE26" t="n">
        <v>70000</v>
      </c>
      <c r="AF26" t="n">
        <v>0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12</v>
      </c>
      <c r="AM26" t="n">
        <v>1</v>
      </c>
      <c r="AN26" t="n">
        <v>2</v>
      </c>
      <c r="AO26" t="n">
        <v>2</v>
      </c>
      <c r="AP26" t="n">
        <v>2</v>
      </c>
      <c r="AQ26" t="n">
        <v>203</v>
      </c>
      <c r="AR26" t="n">
        <v>17</v>
      </c>
      <c r="AS26" t="n">
        <v>249</v>
      </c>
      <c r="AT26">
        <f>ROUND(100*N26/L26,2)</f>
        <v/>
      </c>
      <c r="AU26">
        <f>ROUND(100*N26/K26,2)</f>
        <v/>
      </c>
      <c r="AV26">
        <f>ROUND(100*H26/F26,2)</f>
        <v/>
      </c>
      <c r="AW26">
        <f>ROUND(100*N26/J26,2)</f>
        <v/>
      </c>
      <c r="AX26">
        <f>ROUND(100*Q26/P26,2)</f>
        <v/>
      </c>
      <c r="AY26">
        <f>ROUND(100*N26/O26,2)</f>
        <v/>
      </c>
      <c r="AZ26">
        <f>ROUND(H26/S26,2)</f>
        <v/>
      </c>
      <c r="BA26">
        <f>ROUND(T26/S26,2)</f>
        <v/>
      </c>
      <c r="BB26">
        <f>ROUND(I26,2)</f>
        <v/>
      </c>
      <c r="BC26">
        <f>ROUND(R26,2)</f>
        <v/>
      </c>
      <c r="BD26">
        <f>ROUND(100*V26/U26,2)</f>
        <v/>
      </c>
      <c r="BE26">
        <f>ROUND(1000*(W26+Y26)/N26,2)</f>
        <v/>
      </c>
      <c r="BF26">
        <f>ROUND(W26,2)</f>
        <v/>
      </c>
      <c r="BG26">
        <f>ROUND(X26,2)</f>
        <v/>
      </c>
      <c r="BH26">
        <f>ROUND(Z26,2)</f>
        <v/>
      </c>
      <c r="BI26">
        <f>ROUND(AA26,2)</f>
        <v/>
      </c>
      <c r="BJ26">
        <f>ROUND(AB26/N26,2)</f>
        <v/>
      </c>
      <c r="BK26">
        <f>ROUND(AC26,2)</f>
        <v/>
      </c>
      <c r="BL26">
        <f>ROUND(AD26,2)</f>
        <v/>
      </c>
      <c r="BM26">
        <f>ROUND(AP26,2)</f>
        <v/>
      </c>
      <c r="BN26">
        <f>ROUND(100*AR26/AQ26,2)</f>
        <v/>
      </c>
      <c r="BO26">
        <f>ROUND(AK26,2)</f>
        <v/>
      </c>
      <c r="BP26">
        <f>ROUND(200000*AF26/AE26,2)</f>
        <v/>
      </c>
      <c r="BQ26">
        <f>ROUND(AG26,2)</f>
        <v/>
      </c>
      <c r="BR26">
        <f>ROUND(AH26,2)</f>
        <v/>
      </c>
      <c r="BS26">
        <f>ROUND(AI26,2)</f>
        <v/>
      </c>
      <c r="BT26">
        <f>ROUND(AJ26,2)</f>
        <v/>
      </c>
      <c r="BU26">
        <f>ROUND(AL26,2)</f>
        <v/>
      </c>
      <c r="BV26">
        <f>ROUND(AM26,2)</f>
        <v/>
      </c>
      <c r="BW26">
        <f>ROUND(IF(AN26=0,100,100*AO26/AN26),2)</f>
        <v/>
      </c>
      <c r="BX26">
        <f>ROUND(AS26,2)</f>
        <v/>
      </c>
    </row>
    <row r="27">
      <c r="A27" t="inlineStr">
        <is>
          <t>Group</t>
        </is>
      </c>
      <c r="B27" t="inlineStr">
        <is>
          <t>Entity A2</t>
        </is>
      </c>
      <c r="C27" t="inlineStr">
        <is>
          <t>Plant 04</t>
        </is>
      </c>
      <c r="D27" t="inlineStr">
        <is>
          <t>2026-09</t>
        </is>
      </c>
      <c r="E27" t="n">
        <v>126.8</v>
      </c>
      <c r="F27" t="n">
        <v>720</v>
      </c>
      <c r="G27" t="n">
        <v>718</v>
      </c>
      <c r="H27" t="n">
        <v>690.6</v>
      </c>
      <c r="I27" t="n">
        <v>10.1</v>
      </c>
      <c r="J27" t="n">
        <v>91042</v>
      </c>
      <c r="K27" t="n">
        <v>91296</v>
      </c>
      <c r="L27" t="n">
        <v>79048</v>
      </c>
      <c r="M27" t="n">
        <v>83890</v>
      </c>
      <c r="N27" t="n">
        <v>81694</v>
      </c>
      <c r="O27" t="n">
        <v>90180</v>
      </c>
      <c r="P27" t="n">
        <v>20374</v>
      </c>
      <c r="Q27" t="n">
        <v>18005</v>
      </c>
      <c r="R27" t="n">
        <v>1281</v>
      </c>
      <c r="S27" t="n">
        <v>1</v>
      </c>
      <c r="T27" t="n">
        <v>6.8</v>
      </c>
      <c r="U27" t="n">
        <v>59</v>
      </c>
      <c r="V27" t="n">
        <v>59</v>
      </c>
      <c r="W27" t="n">
        <v>266460.1</v>
      </c>
      <c r="X27" t="n">
        <v>82640.2</v>
      </c>
      <c r="Y27" t="n">
        <v>1127.6</v>
      </c>
      <c r="Z27" t="n">
        <v>178267</v>
      </c>
      <c r="AA27" t="n">
        <v>58385</v>
      </c>
      <c r="AB27" t="n">
        <v>283879</v>
      </c>
      <c r="AC27" t="n">
        <v>0</v>
      </c>
      <c r="AD27" t="n">
        <v>0</v>
      </c>
      <c r="AE27" t="n">
        <v>57000</v>
      </c>
      <c r="AF27" t="n">
        <v>0</v>
      </c>
      <c r="AG27" t="n">
        <v>0</v>
      </c>
      <c r="AH27" t="n">
        <v>3</v>
      </c>
      <c r="AI27" t="n">
        <v>0</v>
      </c>
      <c r="AJ27" t="n">
        <v>1</v>
      </c>
      <c r="AK27" t="n">
        <v>0</v>
      </c>
      <c r="AL27" t="n">
        <v>6</v>
      </c>
      <c r="AM27" t="n">
        <v>1</v>
      </c>
      <c r="AN27" t="n">
        <v>0</v>
      </c>
      <c r="AO27" t="n">
        <v>0</v>
      </c>
      <c r="AP27" t="n">
        <v>0</v>
      </c>
      <c r="AQ27" t="n">
        <v>169</v>
      </c>
      <c r="AR27" t="n">
        <v>12</v>
      </c>
      <c r="AS27" t="n">
        <v>219</v>
      </c>
      <c r="AT27">
        <f>ROUND(100*N27/L27,2)</f>
        <v/>
      </c>
      <c r="AU27">
        <f>ROUND(100*N27/K27,2)</f>
        <v/>
      </c>
      <c r="AV27">
        <f>ROUND(100*H27/F27,2)</f>
        <v/>
      </c>
      <c r="AW27">
        <f>ROUND(100*N27/J27,2)</f>
        <v/>
      </c>
      <c r="AX27">
        <f>ROUND(100*Q27/P27,2)</f>
        <v/>
      </c>
      <c r="AY27">
        <f>ROUND(100*N27/O27,2)</f>
        <v/>
      </c>
      <c r="AZ27">
        <f>ROUND(H27/S27,2)</f>
        <v/>
      </c>
      <c r="BA27">
        <f>ROUND(T27/S27,2)</f>
        <v/>
      </c>
      <c r="BB27">
        <f>ROUND(I27,2)</f>
        <v/>
      </c>
      <c r="BC27">
        <f>ROUND(R27,2)</f>
        <v/>
      </c>
      <c r="BD27">
        <f>ROUND(100*V27/U27,2)</f>
        <v/>
      </c>
      <c r="BE27">
        <f>ROUND(1000*(W27+Y27)/N27,2)</f>
        <v/>
      </c>
      <c r="BF27">
        <f>ROUND(W27,2)</f>
        <v/>
      </c>
      <c r="BG27">
        <f>ROUND(X27,2)</f>
        <v/>
      </c>
      <c r="BH27">
        <f>ROUND(Z27,2)</f>
        <v/>
      </c>
      <c r="BI27">
        <f>ROUND(AA27,2)</f>
        <v/>
      </c>
      <c r="BJ27">
        <f>ROUND(AB27/N27,2)</f>
        <v/>
      </c>
      <c r="BK27">
        <f>ROUND(AC27,2)</f>
        <v/>
      </c>
      <c r="BL27">
        <f>ROUND(AD27,2)</f>
        <v/>
      </c>
      <c r="BM27">
        <f>ROUND(AP27,2)</f>
        <v/>
      </c>
      <c r="BN27">
        <f>ROUND(100*AR27/AQ27,2)</f>
        <v/>
      </c>
      <c r="BO27">
        <f>ROUND(AK27,2)</f>
        <v/>
      </c>
      <c r="BP27">
        <f>ROUND(200000*AF27/AE27,2)</f>
        <v/>
      </c>
      <c r="BQ27">
        <f>ROUND(AG27,2)</f>
        <v/>
      </c>
      <c r="BR27">
        <f>ROUND(AH27,2)</f>
        <v/>
      </c>
      <c r="BS27">
        <f>ROUND(AI27,2)</f>
        <v/>
      </c>
      <c r="BT27">
        <f>ROUND(AJ27,2)</f>
        <v/>
      </c>
      <c r="BU27">
        <f>ROUND(AL27,2)</f>
        <v/>
      </c>
      <c r="BV27">
        <f>ROUND(AM27,2)</f>
        <v/>
      </c>
      <c r="BW27">
        <f>ROUND(IF(AN27=0,100,100*AO27/AN27),2)</f>
        <v/>
      </c>
      <c r="BX27">
        <f>ROUND(AS27,2)</f>
        <v/>
      </c>
    </row>
    <row r="28">
      <c r="A28" t="inlineStr">
        <is>
          <t>Group</t>
        </is>
      </c>
      <c r="B28" t="inlineStr">
        <is>
          <t>Entity A2</t>
        </is>
      </c>
      <c r="C28" t="inlineStr">
        <is>
          <t>Plant 05</t>
        </is>
      </c>
      <c r="D28" t="inlineStr">
        <is>
          <t>2026-04</t>
        </is>
      </c>
      <c r="E28" t="n">
        <v>205</v>
      </c>
      <c r="F28" t="n">
        <v>720</v>
      </c>
      <c r="G28" t="n">
        <v>710</v>
      </c>
      <c r="H28" t="n">
        <v>684.5</v>
      </c>
      <c r="I28" t="n">
        <v>17</v>
      </c>
      <c r="J28" t="n">
        <v>145550</v>
      </c>
      <c r="K28" t="n">
        <v>147600</v>
      </c>
      <c r="L28" t="n">
        <v>129763</v>
      </c>
      <c r="M28" t="n">
        <v>135746</v>
      </c>
      <c r="N28" t="n">
        <v>129454</v>
      </c>
      <c r="O28" t="n">
        <v>144929</v>
      </c>
      <c r="P28" t="n">
        <v>32992</v>
      </c>
      <c r="Q28" t="n">
        <v>28916</v>
      </c>
      <c r="R28" t="n">
        <v>3485</v>
      </c>
      <c r="S28" t="n">
        <v>2</v>
      </c>
      <c r="T28" t="n">
        <v>13.9</v>
      </c>
      <c r="U28" t="n">
        <v>52</v>
      </c>
      <c r="V28" t="n">
        <v>48</v>
      </c>
      <c r="W28" t="n">
        <v>435077.3</v>
      </c>
      <c r="X28" t="n">
        <v>128779.7</v>
      </c>
      <c r="Y28" t="n">
        <v>1262.8</v>
      </c>
      <c r="Z28" t="n">
        <v>292639</v>
      </c>
      <c r="AA28" t="n">
        <v>86136</v>
      </c>
      <c r="AB28" t="n">
        <v>447791</v>
      </c>
      <c r="AC28" t="n">
        <v>2659</v>
      </c>
      <c r="AD28" t="n">
        <v>2</v>
      </c>
      <c r="AE28" t="n">
        <v>88000</v>
      </c>
      <c r="AF28" t="n">
        <v>2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12</v>
      </c>
      <c r="AM28" t="n">
        <v>0</v>
      </c>
      <c r="AN28" t="n">
        <v>1</v>
      </c>
      <c r="AO28" t="n">
        <v>0</v>
      </c>
      <c r="AP28" t="n">
        <v>0</v>
      </c>
      <c r="AQ28" t="n">
        <v>134</v>
      </c>
      <c r="AR28" t="n">
        <v>10</v>
      </c>
      <c r="AS28" t="n">
        <v>252</v>
      </c>
      <c r="AT28">
        <f>ROUND(100*N28/L28,2)</f>
        <v/>
      </c>
      <c r="AU28">
        <f>ROUND(100*N28/K28,2)</f>
        <v/>
      </c>
      <c r="AV28">
        <f>ROUND(100*H28/F28,2)</f>
        <v/>
      </c>
      <c r="AW28">
        <f>ROUND(100*N28/J28,2)</f>
        <v/>
      </c>
      <c r="AX28">
        <f>ROUND(100*Q28/P28,2)</f>
        <v/>
      </c>
      <c r="AY28">
        <f>ROUND(100*N28/O28,2)</f>
        <v/>
      </c>
      <c r="AZ28">
        <f>ROUND(H28/S28,2)</f>
        <v/>
      </c>
      <c r="BA28">
        <f>ROUND(T28/S28,2)</f>
        <v/>
      </c>
      <c r="BB28">
        <f>ROUND(I28,2)</f>
        <v/>
      </c>
      <c r="BC28">
        <f>ROUND(R28,2)</f>
        <v/>
      </c>
      <c r="BD28">
        <f>ROUND(100*V28/U28,2)</f>
        <v/>
      </c>
      <c r="BE28">
        <f>ROUND(1000*(W28+Y28)/N28,2)</f>
        <v/>
      </c>
      <c r="BF28">
        <f>ROUND(W28,2)</f>
        <v/>
      </c>
      <c r="BG28">
        <f>ROUND(X28,2)</f>
        <v/>
      </c>
      <c r="BH28">
        <f>ROUND(Z28,2)</f>
        <v/>
      </c>
      <c r="BI28">
        <f>ROUND(AA28,2)</f>
        <v/>
      </c>
      <c r="BJ28">
        <f>ROUND(AB28/N28,2)</f>
        <v/>
      </c>
      <c r="BK28">
        <f>ROUND(AC28,2)</f>
        <v/>
      </c>
      <c r="BL28">
        <f>ROUND(AD28,2)</f>
        <v/>
      </c>
      <c r="BM28">
        <f>ROUND(AP28,2)</f>
        <v/>
      </c>
      <c r="BN28">
        <f>ROUND(100*AR28/AQ28,2)</f>
        <v/>
      </c>
      <c r="BO28">
        <f>ROUND(AK28,2)</f>
        <v/>
      </c>
      <c r="BP28">
        <f>ROUND(200000*AF28/AE28,2)</f>
        <v/>
      </c>
      <c r="BQ28">
        <f>ROUND(AG28,2)</f>
        <v/>
      </c>
      <c r="BR28">
        <f>ROUND(AH28,2)</f>
        <v/>
      </c>
      <c r="BS28">
        <f>ROUND(AI28,2)</f>
        <v/>
      </c>
      <c r="BT28">
        <f>ROUND(AJ28,2)</f>
        <v/>
      </c>
      <c r="BU28">
        <f>ROUND(AL28,2)</f>
        <v/>
      </c>
      <c r="BV28">
        <f>ROUND(AM28,2)</f>
        <v/>
      </c>
      <c r="BW28">
        <f>ROUND(IF(AN28=0,100,100*AO28/AN28),2)</f>
        <v/>
      </c>
      <c r="BX28">
        <f>ROUND(AS28,2)</f>
        <v/>
      </c>
    </row>
    <row r="29">
      <c r="A29" t="inlineStr">
        <is>
          <t>Group</t>
        </is>
      </c>
      <c r="B29" t="inlineStr">
        <is>
          <t>Entity A2</t>
        </is>
      </c>
      <c r="C29" t="inlineStr">
        <is>
          <t>Plant 05</t>
        </is>
      </c>
      <c r="D29" t="inlineStr">
        <is>
          <t>2026-05</t>
        </is>
      </c>
      <c r="E29" t="n">
        <v>205</v>
      </c>
      <c r="F29" t="n">
        <v>744</v>
      </c>
      <c r="G29" t="n">
        <v>674</v>
      </c>
      <c r="H29" t="n">
        <v>642.5</v>
      </c>
      <c r="I29" t="n">
        <v>18.2</v>
      </c>
      <c r="J29" t="n">
        <v>138170</v>
      </c>
      <c r="K29" t="n">
        <v>152520</v>
      </c>
      <c r="L29" t="n">
        <v>121141</v>
      </c>
      <c r="M29" t="n">
        <v>127057</v>
      </c>
      <c r="N29" t="n">
        <v>121753</v>
      </c>
      <c r="O29" t="n">
        <v>132003</v>
      </c>
      <c r="P29" t="n">
        <v>24602</v>
      </c>
      <c r="Q29" t="n">
        <v>21013</v>
      </c>
      <c r="R29" t="n">
        <v>3731</v>
      </c>
      <c r="S29" t="n">
        <v>2</v>
      </c>
      <c r="T29" t="n">
        <v>9.300000000000001</v>
      </c>
      <c r="U29" t="n">
        <v>39</v>
      </c>
      <c r="V29" t="n">
        <v>36</v>
      </c>
      <c r="W29" t="n">
        <v>362340.8</v>
      </c>
      <c r="X29" t="n">
        <v>89550</v>
      </c>
      <c r="Y29" t="n">
        <v>1517.5</v>
      </c>
      <c r="Z29" t="n">
        <v>244417</v>
      </c>
      <c r="AA29" t="n">
        <v>74247</v>
      </c>
      <c r="AB29" t="n">
        <v>353899</v>
      </c>
      <c r="AC29" t="n">
        <v>0</v>
      </c>
      <c r="AD29" t="n">
        <v>0</v>
      </c>
      <c r="AE29" t="n">
        <v>79000</v>
      </c>
      <c r="AF29" t="n">
        <v>0</v>
      </c>
      <c r="AG29" t="n">
        <v>0</v>
      </c>
      <c r="AH29" t="n">
        <v>12</v>
      </c>
      <c r="AI29" t="n">
        <v>0</v>
      </c>
      <c r="AJ29" t="n">
        <v>0</v>
      </c>
      <c r="AK29" t="n">
        <v>0</v>
      </c>
      <c r="AL29" t="n">
        <v>12</v>
      </c>
      <c r="AM29" t="n">
        <v>3</v>
      </c>
      <c r="AN29" t="n">
        <v>2</v>
      </c>
      <c r="AO29" t="n">
        <v>2</v>
      </c>
      <c r="AP29" t="n">
        <v>1</v>
      </c>
      <c r="AQ29" t="n">
        <v>149</v>
      </c>
      <c r="AR29" t="n">
        <v>12</v>
      </c>
      <c r="AS29" t="n">
        <v>222</v>
      </c>
      <c r="AT29">
        <f>ROUND(100*N29/L29,2)</f>
        <v/>
      </c>
      <c r="AU29">
        <f>ROUND(100*N29/K29,2)</f>
        <v/>
      </c>
      <c r="AV29">
        <f>ROUND(100*H29/F29,2)</f>
        <v/>
      </c>
      <c r="AW29">
        <f>ROUND(100*N29/J29,2)</f>
        <v/>
      </c>
      <c r="AX29">
        <f>ROUND(100*Q29/P29,2)</f>
        <v/>
      </c>
      <c r="AY29">
        <f>ROUND(100*N29/O29,2)</f>
        <v/>
      </c>
      <c r="AZ29">
        <f>ROUND(H29/S29,2)</f>
        <v/>
      </c>
      <c r="BA29">
        <f>ROUND(T29/S29,2)</f>
        <v/>
      </c>
      <c r="BB29">
        <f>ROUND(I29,2)</f>
        <v/>
      </c>
      <c r="BC29">
        <f>ROUND(R29,2)</f>
        <v/>
      </c>
      <c r="BD29">
        <f>ROUND(100*V29/U29,2)</f>
        <v/>
      </c>
      <c r="BE29">
        <f>ROUND(1000*(W29+Y29)/N29,2)</f>
        <v/>
      </c>
      <c r="BF29">
        <f>ROUND(W29,2)</f>
        <v/>
      </c>
      <c r="BG29">
        <f>ROUND(X29,2)</f>
        <v/>
      </c>
      <c r="BH29">
        <f>ROUND(Z29,2)</f>
        <v/>
      </c>
      <c r="BI29">
        <f>ROUND(AA29,2)</f>
        <v/>
      </c>
      <c r="BJ29">
        <f>ROUND(AB29/N29,2)</f>
        <v/>
      </c>
      <c r="BK29">
        <f>ROUND(AC29,2)</f>
        <v/>
      </c>
      <c r="BL29">
        <f>ROUND(AD29,2)</f>
        <v/>
      </c>
      <c r="BM29">
        <f>ROUND(AP29,2)</f>
        <v/>
      </c>
      <c r="BN29">
        <f>ROUND(100*AR29/AQ29,2)</f>
        <v/>
      </c>
      <c r="BO29">
        <f>ROUND(AK29,2)</f>
        <v/>
      </c>
      <c r="BP29">
        <f>ROUND(200000*AF29/AE29,2)</f>
        <v/>
      </c>
      <c r="BQ29">
        <f>ROUND(AG29,2)</f>
        <v/>
      </c>
      <c r="BR29">
        <f>ROUND(AH29,2)</f>
        <v/>
      </c>
      <c r="BS29">
        <f>ROUND(AI29,2)</f>
        <v/>
      </c>
      <c r="BT29">
        <f>ROUND(AJ29,2)</f>
        <v/>
      </c>
      <c r="BU29">
        <f>ROUND(AL29,2)</f>
        <v/>
      </c>
      <c r="BV29">
        <f>ROUND(AM29,2)</f>
        <v/>
      </c>
      <c r="BW29">
        <f>ROUND(IF(AN29=0,100,100*AO29/AN29),2)</f>
        <v/>
      </c>
      <c r="BX29">
        <f>ROUND(AS29,2)</f>
        <v/>
      </c>
    </row>
    <row r="30">
      <c r="A30" t="inlineStr">
        <is>
          <t>Group</t>
        </is>
      </c>
      <c r="B30" t="inlineStr">
        <is>
          <t>Entity A2</t>
        </is>
      </c>
      <c r="C30" t="inlineStr">
        <is>
          <t>Plant 05</t>
        </is>
      </c>
      <c r="D30" t="inlineStr">
        <is>
          <t>2026-06</t>
        </is>
      </c>
      <c r="E30" t="n">
        <v>205</v>
      </c>
      <c r="F30" t="n">
        <v>720</v>
      </c>
      <c r="G30" t="n">
        <v>713</v>
      </c>
      <c r="H30" t="n">
        <v>680.7</v>
      </c>
      <c r="I30" t="n">
        <v>15.1</v>
      </c>
      <c r="J30" t="n">
        <v>146165</v>
      </c>
      <c r="K30" t="n">
        <v>147600</v>
      </c>
      <c r="L30" t="n">
        <v>131151</v>
      </c>
      <c r="M30" t="n">
        <v>125961</v>
      </c>
      <c r="N30" t="n">
        <v>123027</v>
      </c>
      <c r="O30" t="n">
        <v>137718</v>
      </c>
      <c r="P30" t="n">
        <v>26078</v>
      </c>
      <c r="Q30" t="n">
        <v>23615</v>
      </c>
      <c r="R30" t="n">
        <v>3096</v>
      </c>
      <c r="S30" t="n">
        <v>3</v>
      </c>
      <c r="T30" t="n">
        <v>12</v>
      </c>
      <c r="U30" t="n">
        <v>38</v>
      </c>
      <c r="V30" t="n">
        <v>37</v>
      </c>
      <c r="W30" t="n">
        <v>411518.7</v>
      </c>
      <c r="X30" t="n">
        <v>126359</v>
      </c>
      <c r="Y30" t="n">
        <v>1457</v>
      </c>
      <c r="Z30" t="n">
        <v>277551</v>
      </c>
      <c r="AA30" t="n">
        <v>89682</v>
      </c>
      <c r="AB30" t="n">
        <v>432290</v>
      </c>
      <c r="AC30" t="n">
        <v>11194</v>
      </c>
      <c r="AD30" t="n">
        <v>2</v>
      </c>
      <c r="AE30" t="n">
        <v>64000</v>
      </c>
      <c r="AF30" t="n">
        <v>2</v>
      </c>
      <c r="AG30" t="n">
        <v>0</v>
      </c>
      <c r="AH30" t="n">
        <v>6</v>
      </c>
      <c r="AI30" t="n">
        <v>0</v>
      </c>
      <c r="AJ30" t="n">
        <v>0</v>
      </c>
      <c r="AK30" t="n">
        <v>1</v>
      </c>
      <c r="AL30" t="n">
        <v>3</v>
      </c>
      <c r="AM30" t="n">
        <v>1</v>
      </c>
      <c r="AN30" t="n">
        <v>0</v>
      </c>
      <c r="AO30" t="n">
        <v>0</v>
      </c>
      <c r="AP30" t="n">
        <v>0</v>
      </c>
      <c r="AQ30" t="n">
        <v>249</v>
      </c>
      <c r="AR30" t="n">
        <v>18</v>
      </c>
      <c r="AS30" t="n">
        <v>192</v>
      </c>
      <c r="AT30">
        <f>ROUND(100*N30/L30,2)</f>
        <v/>
      </c>
      <c r="AU30">
        <f>ROUND(100*N30/K30,2)</f>
        <v/>
      </c>
      <c r="AV30">
        <f>ROUND(100*H30/F30,2)</f>
        <v/>
      </c>
      <c r="AW30">
        <f>ROUND(100*N30/J30,2)</f>
        <v/>
      </c>
      <c r="AX30">
        <f>ROUND(100*Q30/P30,2)</f>
        <v/>
      </c>
      <c r="AY30">
        <f>ROUND(100*N30/O30,2)</f>
        <v/>
      </c>
      <c r="AZ30">
        <f>ROUND(H30/S30,2)</f>
        <v/>
      </c>
      <c r="BA30">
        <f>ROUND(T30/S30,2)</f>
        <v/>
      </c>
      <c r="BB30">
        <f>ROUND(I30,2)</f>
        <v/>
      </c>
      <c r="BC30">
        <f>ROUND(R30,2)</f>
        <v/>
      </c>
      <c r="BD30">
        <f>ROUND(100*V30/U30,2)</f>
        <v/>
      </c>
      <c r="BE30">
        <f>ROUND(1000*(W30+Y30)/N30,2)</f>
        <v/>
      </c>
      <c r="BF30">
        <f>ROUND(W30,2)</f>
        <v/>
      </c>
      <c r="BG30">
        <f>ROUND(X30,2)</f>
        <v/>
      </c>
      <c r="BH30">
        <f>ROUND(Z30,2)</f>
        <v/>
      </c>
      <c r="BI30">
        <f>ROUND(AA30,2)</f>
        <v/>
      </c>
      <c r="BJ30">
        <f>ROUND(AB30/N30,2)</f>
        <v/>
      </c>
      <c r="BK30">
        <f>ROUND(AC30,2)</f>
        <v/>
      </c>
      <c r="BL30">
        <f>ROUND(AD30,2)</f>
        <v/>
      </c>
      <c r="BM30">
        <f>ROUND(AP30,2)</f>
        <v/>
      </c>
      <c r="BN30">
        <f>ROUND(100*AR30/AQ30,2)</f>
        <v/>
      </c>
      <c r="BO30">
        <f>ROUND(AK30,2)</f>
        <v/>
      </c>
      <c r="BP30">
        <f>ROUND(200000*AF30/AE30,2)</f>
        <v/>
      </c>
      <c r="BQ30">
        <f>ROUND(AG30,2)</f>
        <v/>
      </c>
      <c r="BR30">
        <f>ROUND(AH30,2)</f>
        <v/>
      </c>
      <c r="BS30">
        <f>ROUND(AI30,2)</f>
        <v/>
      </c>
      <c r="BT30">
        <f>ROUND(AJ30,2)</f>
        <v/>
      </c>
      <c r="BU30">
        <f>ROUND(AL30,2)</f>
        <v/>
      </c>
      <c r="BV30">
        <f>ROUND(AM30,2)</f>
        <v/>
      </c>
      <c r="BW30">
        <f>ROUND(IF(AN30=0,100,100*AO30/AN30),2)</f>
        <v/>
      </c>
      <c r="BX30">
        <f>ROUND(AS30,2)</f>
        <v/>
      </c>
    </row>
    <row r="31">
      <c r="A31" t="inlineStr">
        <is>
          <t>Group</t>
        </is>
      </c>
      <c r="B31" t="inlineStr">
        <is>
          <t>Entity A2</t>
        </is>
      </c>
      <c r="C31" t="inlineStr">
        <is>
          <t>Plant 05</t>
        </is>
      </c>
      <c r="D31" t="inlineStr">
        <is>
          <t>2026-07</t>
        </is>
      </c>
      <c r="E31" t="n">
        <v>205</v>
      </c>
      <c r="F31" t="n">
        <v>744</v>
      </c>
      <c r="G31" t="n">
        <v>744</v>
      </c>
      <c r="H31" t="n">
        <v>715.3</v>
      </c>
      <c r="I31" t="n">
        <v>13.1</v>
      </c>
      <c r="J31" t="n">
        <v>152520</v>
      </c>
      <c r="K31" t="n">
        <v>152520</v>
      </c>
      <c r="L31" t="n">
        <v>137952</v>
      </c>
      <c r="M31" t="n">
        <v>141931</v>
      </c>
      <c r="N31" t="n">
        <v>136982</v>
      </c>
      <c r="O31" t="n">
        <v>145102</v>
      </c>
      <c r="P31" t="n">
        <v>29563</v>
      </c>
      <c r="Q31" t="n">
        <v>26355</v>
      </c>
      <c r="R31" t="n">
        <v>2686</v>
      </c>
      <c r="S31" t="n">
        <v>1</v>
      </c>
      <c r="T31" t="n">
        <v>6</v>
      </c>
      <c r="U31" t="n">
        <v>58</v>
      </c>
      <c r="V31" t="n">
        <v>57</v>
      </c>
      <c r="W31" t="n">
        <v>444075.7</v>
      </c>
      <c r="X31" t="n">
        <v>131632.2</v>
      </c>
      <c r="Y31" t="n">
        <v>1411.4</v>
      </c>
      <c r="Z31" t="n">
        <v>285264</v>
      </c>
      <c r="AA31" t="n">
        <v>93285</v>
      </c>
      <c r="AB31" t="n">
        <v>457581</v>
      </c>
      <c r="AC31" t="n">
        <v>1175</v>
      </c>
      <c r="AD31" t="n">
        <v>0</v>
      </c>
      <c r="AE31" t="n">
        <v>65000</v>
      </c>
      <c r="AF31" t="n">
        <v>1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14</v>
      </c>
      <c r="AM31" t="n">
        <v>4</v>
      </c>
      <c r="AN31" t="n">
        <v>0</v>
      </c>
      <c r="AO31" t="n">
        <v>0</v>
      </c>
      <c r="AP31" t="n">
        <v>1</v>
      </c>
      <c r="AQ31" t="n">
        <v>167</v>
      </c>
      <c r="AR31" t="n">
        <v>14</v>
      </c>
      <c r="AS31" t="n">
        <v>162</v>
      </c>
      <c r="AT31">
        <f>ROUND(100*N31/L31,2)</f>
        <v/>
      </c>
      <c r="AU31">
        <f>ROUND(100*N31/K31,2)</f>
        <v/>
      </c>
      <c r="AV31">
        <f>ROUND(100*H31/F31,2)</f>
        <v/>
      </c>
      <c r="AW31">
        <f>ROUND(100*N31/J31,2)</f>
        <v/>
      </c>
      <c r="AX31">
        <f>ROUND(100*Q31/P31,2)</f>
        <v/>
      </c>
      <c r="AY31">
        <f>ROUND(100*N31/O31,2)</f>
        <v/>
      </c>
      <c r="AZ31">
        <f>ROUND(H31/S31,2)</f>
        <v/>
      </c>
      <c r="BA31">
        <f>ROUND(T31/S31,2)</f>
        <v/>
      </c>
      <c r="BB31">
        <f>ROUND(I31,2)</f>
        <v/>
      </c>
      <c r="BC31">
        <f>ROUND(R31,2)</f>
        <v/>
      </c>
      <c r="BD31">
        <f>ROUND(100*V31/U31,2)</f>
        <v/>
      </c>
      <c r="BE31">
        <f>ROUND(1000*(W31+Y31)/N31,2)</f>
        <v/>
      </c>
      <c r="BF31">
        <f>ROUND(W31,2)</f>
        <v/>
      </c>
      <c r="BG31">
        <f>ROUND(X31,2)</f>
        <v/>
      </c>
      <c r="BH31">
        <f>ROUND(Z31,2)</f>
        <v/>
      </c>
      <c r="BI31">
        <f>ROUND(AA31,2)</f>
        <v/>
      </c>
      <c r="BJ31">
        <f>ROUND(AB31/N31,2)</f>
        <v/>
      </c>
      <c r="BK31">
        <f>ROUND(AC31,2)</f>
        <v/>
      </c>
      <c r="BL31">
        <f>ROUND(AD31,2)</f>
        <v/>
      </c>
      <c r="BM31">
        <f>ROUND(AP31,2)</f>
        <v/>
      </c>
      <c r="BN31">
        <f>ROUND(100*AR31/AQ31,2)</f>
        <v/>
      </c>
      <c r="BO31">
        <f>ROUND(AK31,2)</f>
        <v/>
      </c>
      <c r="BP31">
        <f>ROUND(200000*AF31/AE31,2)</f>
        <v/>
      </c>
      <c r="BQ31">
        <f>ROUND(AG31,2)</f>
        <v/>
      </c>
      <c r="BR31">
        <f>ROUND(AH31,2)</f>
        <v/>
      </c>
      <c r="BS31">
        <f>ROUND(AI31,2)</f>
        <v/>
      </c>
      <c r="BT31">
        <f>ROUND(AJ31,2)</f>
        <v/>
      </c>
      <c r="BU31">
        <f>ROUND(AL31,2)</f>
        <v/>
      </c>
      <c r="BV31">
        <f>ROUND(AM31,2)</f>
        <v/>
      </c>
      <c r="BW31">
        <f>ROUND(IF(AN31=0,100,100*AO31/AN31),2)</f>
        <v/>
      </c>
      <c r="BX31">
        <f>ROUND(AS31,2)</f>
        <v/>
      </c>
    </row>
    <row r="32">
      <c r="A32" t="inlineStr">
        <is>
          <t>Group</t>
        </is>
      </c>
      <c r="B32" t="inlineStr">
        <is>
          <t>Entity A2</t>
        </is>
      </c>
      <c r="C32" t="inlineStr">
        <is>
          <t>Plant 05</t>
        </is>
      </c>
      <c r="D32" t="inlineStr">
        <is>
          <t>2026-08</t>
        </is>
      </c>
      <c r="E32" t="n">
        <v>205</v>
      </c>
      <c r="F32" t="n">
        <v>744</v>
      </c>
      <c r="G32" t="n">
        <v>695</v>
      </c>
      <c r="H32" t="n">
        <v>644.6</v>
      </c>
      <c r="I32" t="n">
        <v>34.9</v>
      </c>
      <c r="J32" t="n">
        <v>142475</v>
      </c>
      <c r="K32" t="n">
        <v>152520</v>
      </c>
      <c r="L32" t="n">
        <v>126640</v>
      </c>
      <c r="M32" t="n">
        <v>125577</v>
      </c>
      <c r="N32" t="n">
        <v>123607</v>
      </c>
      <c r="O32" t="n">
        <v>138276</v>
      </c>
      <c r="P32" t="n">
        <v>32113</v>
      </c>
      <c r="Q32" t="n">
        <v>29045</v>
      </c>
      <c r="R32" t="n">
        <v>7154</v>
      </c>
      <c r="S32" t="n">
        <v>4</v>
      </c>
      <c r="T32" t="n">
        <v>30.5</v>
      </c>
      <c r="U32" t="n">
        <v>54</v>
      </c>
      <c r="V32" t="n">
        <v>54</v>
      </c>
      <c r="W32" t="n">
        <v>390308.9</v>
      </c>
      <c r="X32" t="n">
        <v>92794.10000000001</v>
      </c>
      <c r="Y32" t="n">
        <v>1470.7</v>
      </c>
      <c r="Z32" t="n">
        <v>320464</v>
      </c>
      <c r="AA32" t="n">
        <v>79520</v>
      </c>
      <c r="AB32" t="n">
        <v>439606</v>
      </c>
      <c r="AC32" t="n">
        <v>0</v>
      </c>
      <c r="AD32" t="n">
        <v>2</v>
      </c>
      <c r="AE32" t="n">
        <v>68000</v>
      </c>
      <c r="AF32" t="n">
        <v>0</v>
      </c>
      <c r="AG32" t="n">
        <v>0</v>
      </c>
      <c r="AH32" t="n">
        <v>11</v>
      </c>
      <c r="AI32" t="n">
        <v>0</v>
      </c>
      <c r="AJ32" t="n">
        <v>0</v>
      </c>
      <c r="AK32" t="n">
        <v>0</v>
      </c>
      <c r="AL32" t="n">
        <v>8</v>
      </c>
      <c r="AM32" t="n">
        <v>1</v>
      </c>
      <c r="AN32" t="n">
        <v>3</v>
      </c>
      <c r="AO32" t="n">
        <v>3</v>
      </c>
      <c r="AP32" t="n">
        <v>1</v>
      </c>
      <c r="AQ32" t="n">
        <v>185</v>
      </c>
      <c r="AR32" t="n">
        <v>11</v>
      </c>
      <c r="AS32" t="n">
        <v>132</v>
      </c>
      <c r="AT32">
        <f>ROUND(100*N32/L32,2)</f>
        <v/>
      </c>
      <c r="AU32">
        <f>ROUND(100*N32/K32,2)</f>
        <v/>
      </c>
      <c r="AV32">
        <f>ROUND(100*H32/F32,2)</f>
        <v/>
      </c>
      <c r="AW32">
        <f>ROUND(100*N32/J32,2)</f>
        <v/>
      </c>
      <c r="AX32">
        <f>ROUND(100*Q32/P32,2)</f>
        <v/>
      </c>
      <c r="AY32">
        <f>ROUND(100*N32/O32,2)</f>
        <v/>
      </c>
      <c r="AZ32">
        <f>ROUND(H32/S32,2)</f>
        <v/>
      </c>
      <c r="BA32">
        <f>ROUND(T32/S32,2)</f>
        <v/>
      </c>
      <c r="BB32">
        <f>ROUND(I32,2)</f>
        <v/>
      </c>
      <c r="BC32">
        <f>ROUND(R32,2)</f>
        <v/>
      </c>
      <c r="BD32">
        <f>ROUND(100*V32/U32,2)</f>
        <v/>
      </c>
      <c r="BE32">
        <f>ROUND(1000*(W32+Y32)/N32,2)</f>
        <v/>
      </c>
      <c r="BF32">
        <f>ROUND(W32,2)</f>
        <v/>
      </c>
      <c r="BG32">
        <f>ROUND(X32,2)</f>
        <v/>
      </c>
      <c r="BH32">
        <f>ROUND(Z32,2)</f>
        <v/>
      </c>
      <c r="BI32">
        <f>ROUND(AA32,2)</f>
        <v/>
      </c>
      <c r="BJ32">
        <f>ROUND(AB32/N32,2)</f>
        <v/>
      </c>
      <c r="BK32">
        <f>ROUND(AC32,2)</f>
        <v/>
      </c>
      <c r="BL32">
        <f>ROUND(AD32,2)</f>
        <v/>
      </c>
      <c r="BM32">
        <f>ROUND(AP32,2)</f>
        <v/>
      </c>
      <c r="BN32">
        <f>ROUND(100*AR32/AQ32,2)</f>
        <v/>
      </c>
      <c r="BO32">
        <f>ROUND(AK32,2)</f>
        <v/>
      </c>
      <c r="BP32">
        <f>ROUND(200000*AF32/AE32,2)</f>
        <v/>
      </c>
      <c r="BQ32">
        <f>ROUND(AG32,2)</f>
        <v/>
      </c>
      <c r="BR32">
        <f>ROUND(AH32,2)</f>
        <v/>
      </c>
      <c r="BS32">
        <f>ROUND(AI32,2)</f>
        <v/>
      </c>
      <c r="BT32">
        <f>ROUND(AJ32,2)</f>
        <v/>
      </c>
      <c r="BU32">
        <f>ROUND(AL32,2)</f>
        <v/>
      </c>
      <c r="BV32">
        <f>ROUND(AM32,2)</f>
        <v/>
      </c>
      <c r="BW32">
        <f>ROUND(IF(AN32=0,100,100*AO32/AN32),2)</f>
        <v/>
      </c>
      <c r="BX32">
        <f>ROUND(AS32,2)</f>
        <v/>
      </c>
    </row>
    <row r="33">
      <c r="A33" t="inlineStr">
        <is>
          <t>Group</t>
        </is>
      </c>
      <c r="B33" t="inlineStr">
        <is>
          <t>Entity A2</t>
        </is>
      </c>
      <c r="C33" t="inlineStr">
        <is>
          <t>Plant 05</t>
        </is>
      </c>
      <c r="D33" t="inlineStr">
        <is>
          <t>2026-09</t>
        </is>
      </c>
      <c r="E33" t="n">
        <v>205</v>
      </c>
      <c r="F33" t="n">
        <v>720</v>
      </c>
      <c r="G33" t="n">
        <v>710</v>
      </c>
      <c r="H33" t="n">
        <v>689.9</v>
      </c>
      <c r="I33" t="n">
        <v>10.2</v>
      </c>
      <c r="J33" t="n">
        <v>145550</v>
      </c>
      <c r="K33" t="n">
        <v>147600</v>
      </c>
      <c r="L33" t="n">
        <v>130881</v>
      </c>
      <c r="M33" t="n">
        <v>134645</v>
      </c>
      <c r="N33" t="n">
        <v>132787</v>
      </c>
      <c r="O33" t="n">
        <v>142400</v>
      </c>
      <c r="P33" t="n">
        <v>28428</v>
      </c>
      <c r="Q33" t="n">
        <v>25111</v>
      </c>
      <c r="R33" t="n">
        <v>2091</v>
      </c>
      <c r="S33" t="n">
        <v>1</v>
      </c>
      <c r="T33" t="n">
        <v>5.2</v>
      </c>
      <c r="U33" t="n">
        <v>42</v>
      </c>
      <c r="V33" t="n">
        <v>41</v>
      </c>
      <c r="W33" t="n">
        <v>398678.1</v>
      </c>
      <c r="X33" t="n">
        <v>92193.89999999999</v>
      </c>
      <c r="Y33" t="n">
        <v>1248.5</v>
      </c>
      <c r="Z33" t="n">
        <v>299945</v>
      </c>
      <c r="AA33" t="n">
        <v>86535</v>
      </c>
      <c r="AB33" t="n">
        <v>425107</v>
      </c>
      <c r="AC33" t="n">
        <v>0</v>
      </c>
      <c r="AD33" t="n">
        <v>1</v>
      </c>
      <c r="AE33" t="n">
        <v>60000</v>
      </c>
      <c r="AF33" t="n">
        <v>0</v>
      </c>
      <c r="AG33" t="n">
        <v>1</v>
      </c>
      <c r="AH33" t="n">
        <v>9</v>
      </c>
      <c r="AI33" t="n">
        <v>0</v>
      </c>
      <c r="AJ33" t="n">
        <v>0</v>
      </c>
      <c r="AK33" t="n">
        <v>0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198</v>
      </c>
      <c r="AR33" t="n">
        <v>15</v>
      </c>
      <c r="AS33" t="n">
        <v>102</v>
      </c>
      <c r="AT33">
        <f>ROUND(100*N33/L33,2)</f>
        <v/>
      </c>
      <c r="AU33">
        <f>ROUND(100*N33/K33,2)</f>
        <v/>
      </c>
      <c r="AV33">
        <f>ROUND(100*H33/F33,2)</f>
        <v/>
      </c>
      <c r="AW33">
        <f>ROUND(100*N33/J33,2)</f>
        <v/>
      </c>
      <c r="AX33">
        <f>ROUND(100*Q33/P33,2)</f>
        <v/>
      </c>
      <c r="AY33">
        <f>ROUND(100*N33/O33,2)</f>
        <v/>
      </c>
      <c r="AZ33">
        <f>ROUND(H33/S33,2)</f>
        <v/>
      </c>
      <c r="BA33">
        <f>ROUND(T33/S33,2)</f>
        <v/>
      </c>
      <c r="BB33">
        <f>ROUND(I33,2)</f>
        <v/>
      </c>
      <c r="BC33">
        <f>ROUND(R33,2)</f>
        <v/>
      </c>
      <c r="BD33">
        <f>ROUND(100*V33/U33,2)</f>
        <v/>
      </c>
      <c r="BE33">
        <f>ROUND(1000*(W33+Y33)/N33,2)</f>
        <v/>
      </c>
      <c r="BF33">
        <f>ROUND(W33,2)</f>
        <v/>
      </c>
      <c r="BG33">
        <f>ROUND(X33,2)</f>
        <v/>
      </c>
      <c r="BH33">
        <f>ROUND(Z33,2)</f>
        <v/>
      </c>
      <c r="BI33">
        <f>ROUND(AA33,2)</f>
        <v/>
      </c>
      <c r="BJ33">
        <f>ROUND(AB33/N33,2)</f>
        <v/>
      </c>
      <c r="BK33">
        <f>ROUND(AC33,2)</f>
        <v/>
      </c>
      <c r="BL33">
        <f>ROUND(AD33,2)</f>
        <v/>
      </c>
      <c r="BM33">
        <f>ROUND(AP33,2)</f>
        <v/>
      </c>
      <c r="BN33">
        <f>ROUND(100*AR33/AQ33,2)</f>
        <v/>
      </c>
      <c r="BO33">
        <f>ROUND(AK33,2)</f>
        <v/>
      </c>
      <c r="BP33">
        <f>ROUND(200000*AF33/AE33,2)</f>
        <v/>
      </c>
      <c r="BQ33">
        <f>ROUND(AG33,2)</f>
        <v/>
      </c>
      <c r="BR33">
        <f>ROUND(AH33,2)</f>
        <v/>
      </c>
      <c r="BS33">
        <f>ROUND(AI33,2)</f>
        <v/>
      </c>
      <c r="BT33">
        <f>ROUND(AJ33,2)</f>
        <v/>
      </c>
      <c r="BU33">
        <f>ROUND(AL33,2)</f>
        <v/>
      </c>
      <c r="BV33">
        <f>ROUND(AM33,2)</f>
        <v/>
      </c>
      <c r="BW33">
        <f>ROUND(IF(AN33=0,100,100*AO33/AN33),2)</f>
        <v/>
      </c>
      <c r="BX33">
        <f>ROUND(AS33,2)</f>
        <v/>
      </c>
    </row>
    <row r="34">
      <c r="A34" t="inlineStr">
        <is>
          <t>Group</t>
        </is>
      </c>
      <c r="B34" t="inlineStr">
        <is>
          <t>Entity A2</t>
        </is>
      </c>
      <c r="C34" t="inlineStr">
        <is>
          <t>Plant 06</t>
        </is>
      </c>
      <c r="D34" t="inlineStr">
        <is>
          <t>2026-04</t>
        </is>
      </c>
      <c r="E34" t="n">
        <v>158.2</v>
      </c>
      <c r="F34" t="n">
        <v>720</v>
      </c>
      <c r="G34" t="n">
        <v>716</v>
      </c>
      <c r="H34" t="n">
        <v>694.1</v>
      </c>
      <c r="I34" t="n">
        <v>10.8</v>
      </c>
      <c r="J34" t="n">
        <v>113271</v>
      </c>
      <c r="K34" t="n">
        <v>113904</v>
      </c>
      <c r="L34" t="n">
        <v>99263</v>
      </c>
      <c r="M34" t="n">
        <v>106301</v>
      </c>
      <c r="N34" t="n">
        <v>101956</v>
      </c>
      <c r="O34" t="n">
        <v>109614</v>
      </c>
      <c r="P34" t="n">
        <v>26222</v>
      </c>
      <c r="Q34" t="n">
        <v>22359</v>
      </c>
      <c r="R34" t="n">
        <v>1709</v>
      </c>
      <c r="S34" t="n">
        <v>1</v>
      </c>
      <c r="T34" t="n">
        <v>3.1</v>
      </c>
      <c r="U34" t="n">
        <v>39</v>
      </c>
      <c r="V34" t="n">
        <v>37</v>
      </c>
      <c r="W34" t="n">
        <v>268423.8</v>
      </c>
      <c r="X34" t="n">
        <v>65884.39999999999</v>
      </c>
      <c r="Y34" t="n">
        <v>1044.7</v>
      </c>
      <c r="Z34" t="n">
        <v>209508</v>
      </c>
      <c r="AA34" t="n">
        <v>61037</v>
      </c>
      <c r="AB34" t="n">
        <v>339430</v>
      </c>
      <c r="AC34" t="n">
        <v>0</v>
      </c>
      <c r="AD34" t="n">
        <v>2</v>
      </c>
      <c r="AE34" t="n">
        <v>68000</v>
      </c>
      <c r="AF34" t="n">
        <v>0</v>
      </c>
      <c r="AG34" t="n">
        <v>0</v>
      </c>
      <c r="AH34" t="n">
        <v>10</v>
      </c>
      <c r="AI34" t="n">
        <v>0</v>
      </c>
      <c r="AJ34" t="n">
        <v>1</v>
      </c>
      <c r="AK34" t="n">
        <v>1</v>
      </c>
      <c r="AL34" t="n">
        <v>9</v>
      </c>
      <c r="AM34" t="n">
        <v>1</v>
      </c>
      <c r="AN34" t="n">
        <v>2</v>
      </c>
      <c r="AO34" t="n">
        <v>2</v>
      </c>
      <c r="AP34" t="n">
        <v>0</v>
      </c>
      <c r="AQ34" t="n">
        <v>184</v>
      </c>
      <c r="AR34" t="n">
        <v>6</v>
      </c>
      <c r="AS34" t="n">
        <v>260</v>
      </c>
      <c r="AT34">
        <f>ROUND(100*N34/L34,2)</f>
        <v/>
      </c>
      <c r="AU34">
        <f>ROUND(100*N34/K34,2)</f>
        <v/>
      </c>
      <c r="AV34">
        <f>ROUND(100*H34/F34,2)</f>
        <v/>
      </c>
      <c r="AW34">
        <f>ROUND(100*N34/J34,2)</f>
        <v/>
      </c>
      <c r="AX34">
        <f>ROUND(100*Q34/P34,2)</f>
        <v/>
      </c>
      <c r="AY34">
        <f>ROUND(100*N34/O34,2)</f>
        <v/>
      </c>
      <c r="AZ34">
        <f>ROUND(H34/S34,2)</f>
        <v/>
      </c>
      <c r="BA34">
        <f>ROUND(T34/S34,2)</f>
        <v/>
      </c>
      <c r="BB34">
        <f>ROUND(I34,2)</f>
        <v/>
      </c>
      <c r="BC34">
        <f>ROUND(R34,2)</f>
        <v/>
      </c>
      <c r="BD34">
        <f>ROUND(100*V34/U34,2)</f>
        <v/>
      </c>
      <c r="BE34">
        <f>ROUND(1000*(W34+Y34)/N34,2)</f>
        <v/>
      </c>
      <c r="BF34">
        <f>ROUND(W34,2)</f>
        <v/>
      </c>
      <c r="BG34">
        <f>ROUND(X34,2)</f>
        <v/>
      </c>
      <c r="BH34">
        <f>ROUND(Z34,2)</f>
        <v/>
      </c>
      <c r="BI34">
        <f>ROUND(AA34,2)</f>
        <v/>
      </c>
      <c r="BJ34">
        <f>ROUND(AB34/N34,2)</f>
        <v/>
      </c>
      <c r="BK34">
        <f>ROUND(AC34,2)</f>
        <v/>
      </c>
      <c r="BL34">
        <f>ROUND(AD34,2)</f>
        <v/>
      </c>
      <c r="BM34">
        <f>ROUND(AP34,2)</f>
        <v/>
      </c>
      <c r="BN34">
        <f>ROUND(100*AR34/AQ34,2)</f>
        <v/>
      </c>
      <c r="BO34">
        <f>ROUND(AK34,2)</f>
        <v/>
      </c>
      <c r="BP34">
        <f>ROUND(200000*AF34/AE34,2)</f>
        <v/>
      </c>
      <c r="BQ34">
        <f>ROUND(AG34,2)</f>
        <v/>
      </c>
      <c r="BR34">
        <f>ROUND(AH34,2)</f>
        <v/>
      </c>
      <c r="BS34">
        <f>ROUND(AI34,2)</f>
        <v/>
      </c>
      <c r="BT34">
        <f>ROUND(AJ34,2)</f>
        <v/>
      </c>
      <c r="BU34">
        <f>ROUND(AL34,2)</f>
        <v/>
      </c>
      <c r="BV34">
        <f>ROUND(AM34,2)</f>
        <v/>
      </c>
      <c r="BW34">
        <f>ROUND(IF(AN34=0,100,100*AO34/AN34),2)</f>
        <v/>
      </c>
      <c r="BX34">
        <f>ROUND(AS34,2)</f>
        <v/>
      </c>
    </row>
    <row r="35">
      <c r="A35" t="inlineStr">
        <is>
          <t>Group</t>
        </is>
      </c>
      <c r="B35" t="inlineStr">
        <is>
          <t>Entity A2</t>
        </is>
      </c>
      <c r="C35" t="inlineStr">
        <is>
          <t>Plant 06</t>
        </is>
      </c>
      <c r="D35" t="inlineStr">
        <is>
          <t>2026-05</t>
        </is>
      </c>
      <c r="E35" t="n">
        <v>158.2</v>
      </c>
      <c r="F35" t="n">
        <v>744</v>
      </c>
      <c r="G35" t="n">
        <v>678</v>
      </c>
      <c r="H35" t="n">
        <v>650</v>
      </c>
      <c r="I35" t="n">
        <v>20.8</v>
      </c>
      <c r="J35" t="n">
        <v>107260</v>
      </c>
      <c r="K35" t="n">
        <v>117701</v>
      </c>
      <c r="L35" t="n">
        <v>93083</v>
      </c>
      <c r="M35" t="n">
        <v>93387</v>
      </c>
      <c r="N35" t="n">
        <v>90953</v>
      </c>
      <c r="O35" t="n">
        <v>96185</v>
      </c>
      <c r="P35" t="n">
        <v>18622</v>
      </c>
      <c r="Q35" t="n">
        <v>16188</v>
      </c>
      <c r="R35" t="n">
        <v>3291</v>
      </c>
      <c r="S35" t="n">
        <v>3</v>
      </c>
      <c r="T35" t="n">
        <v>14.6</v>
      </c>
      <c r="U35" t="n">
        <v>51</v>
      </c>
      <c r="V35" t="n">
        <v>49</v>
      </c>
      <c r="W35" t="n">
        <v>257302.8</v>
      </c>
      <c r="X35" t="n">
        <v>71687.7</v>
      </c>
      <c r="Y35" t="n">
        <v>1471.8</v>
      </c>
      <c r="Z35" t="n">
        <v>170103</v>
      </c>
      <c r="AA35" t="n">
        <v>63809</v>
      </c>
      <c r="AB35" t="n">
        <v>283826</v>
      </c>
      <c r="AC35" t="n">
        <v>2043</v>
      </c>
      <c r="AD35" t="n">
        <v>0</v>
      </c>
      <c r="AE35" t="n">
        <v>59000</v>
      </c>
      <c r="AF35" t="n">
        <v>0</v>
      </c>
      <c r="AG35" t="n">
        <v>1</v>
      </c>
      <c r="AH35" t="n">
        <v>8</v>
      </c>
      <c r="AI35" t="n">
        <v>1</v>
      </c>
      <c r="AJ35" t="n">
        <v>0</v>
      </c>
      <c r="AK35" t="n">
        <v>0</v>
      </c>
      <c r="AL35" t="n">
        <v>6</v>
      </c>
      <c r="AM35" t="n">
        <v>2</v>
      </c>
      <c r="AN35" t="n">
        <v>2</v>
      </c>
      <c r="AO35" t="n">
        <v>2</v>
      </c>
      <c r="AP35" t="n">
        <v>0</v>
      </c>
      <c r="AQ35" t="n">
        <v>185</v>
      </c>
      <c r="AR35" t="n">
        <v>15</v>
      </c>
      <c r="AS35" t="n">
        <v>230</v>
      </c>
      <c r="AT35">
        <f>ROUND(100*N35/L35,2)</f>
        <v/>
      </c>
      <c r="AU35">
        <f>ROUND(100*N35/K35,2)</f>
        <v/>
      </c>
      <c r="AV35">
        <f>ROUND(100*H35/F35,2)</f>
        <v/>
      </c>
      <c r="AW35">
        <f>ROUND(100*N35/J35,2)</f>
        <v/>
      </c>
      <c r="AX35">
        <f>ROUND(100*Q35/P35,2)</f>
        <v/>
      </c>
      <c r="AY35">
        <f>ROUND(100*N35/O35,2)</f>
        <v/>
      </c>
      <c r="AZ35">
        <f>ROUND(H35/S35,2)</f>
        <v/>
      </c>
      <c r="BA35">
        <f>ROUND(T35/S35,2)</f>
        <v/>
      </c>
      <c r="BB35">
        <f>ROUND(I35,2)</f>
        <v/>
      </c>
      <c r="BC35">
        <f>ROUND(R35,2)</f>
        <v/>
      </c>
      <c r="BD35">
        <f>ROUND(100*V35/U35,2)</f>
        <v/>
      </c>
      <c r="BE35">
        <f>ROUND(1000*(W35+Y35)/N35,2)</f>
        <v/>
      </c>
      <c r="BF35">
        <f>ROUND(W35,2)</f>
        <v/>
      </c>
      <c r="BG35">
        <f>ROUND(X35,2)</f>
        <v/>
      </c>
      <c r="BH35">
        <f>ROUND(Z35,2)</f>
        <v/>
      </c>
      <c r="BI35">
        <f>ROUND(AA35,2)</f>
        <v/>
      </c>
      <c r="BJ35">
        <f>ROUND(AB35/N35,2)</f>
        <v/>
      </c>
      <c r="BK35">
        <f>ROUND(AC35,2)</f>
        <v/>
      </c>
      <c r="BL35">
        <f>ROUND(AD35,2)</f>
        <v/>
      </c>
      <c r="BM35">
        <f>ROUND(AP35,2)</f>
        <v/>
      </c>
      <c r="BN35">
        <f>ROUND(100*AR35/AQ35,2)</f>
        <v/>
      </c>
      <c r="BO35">
        <f>ROUND(AK35,2)</f>
        <v/>
      </c>
      <c r="BP35">
        <f>ROUND(200000*AF35/AE35,2)</f>
        <v/>
      </c>
      <c r="BQ35">
        <f>ROUND(AG35,2)</f>
        <v/>
      </c>
      <c r="BR35">
        <f>ROUND(AH35,2)</f>
        <v/>
      </c>
      <c r="BS35">
        <f>ROUND(AI35,2)</f>
        <v/>
      </c>
      <c r="BT35">
        <f>ROUND(AJ35,2)</f>
        <v/>
      </c>
      <c r="BU35">
        <f>ROUND(AL35,2)</f>
        <v/>
      </c>
      <c r="BV35">
        <f>ROUND(AM35,2)</f>
        <v/>
      </c>
      <c r="BW35">
        <f>ROUND(IF(AN35=0,100,100*AO35/AN35),2)</f>
        <v/>
      </c>
      <c r="BX35">
        <f>ROUND(AS35,2)</f>
        <v/>
      </c>
    </row>
    <row r="36">
      <c r="A36" t="inlineStr">
        <is>
          <t>Group</t>
        </is>
      </c>
      <c r="B36" t="inlineStr">
        <is>
          <t>Entity A2</t>
        </is>
      </c>
      <c r="C36" t="inlineStr">
        <is>
          <t>Plant 06</t>
        </is>
      </c>
      <c r="D36" t="inlineStr">
        <is>
          <t>2026-06</t>
        </is>
      </c>
      <c r="E36" t="n">
        <v>158.2</v>
      </c>
      <c r="F36" t="n">
        <v>720</v>
      </c>
      <c r="G36" t="n">
        <v>710</v>
      </c>
      <c r="H36" t="n">
        <v>685.1</v>
      </c>
      <c r="I36" t="n">
        <v>7.6</v>
      </c>
      <c r="J36" t="n">
        <v>112322</v>
      </c>
      <c r="K36" t="n">
        <v>113904</v>
      </c>
      <c r="L36" t="n">
        <v>101737</v>
      </c>
      <c r="M36" t="n">
        <v>99375</v>
      </c>
      <c r="N36" t="n">
        <v>97786</v>
      </c>
      <c r="O36" t="n">
        <v>109226</v>
      </c>
      <c r="P36" t="n">
        <v>20553</v>
      </c>
      <c r="Q36" t="n">
        <v>17742</v>
      </c>
      <c r="R36" t="n">
        <v>1202</v>
      </c>
      <c r="S36" t="n">
        <v>1</v>
      </c>
      <c r="T36" t="n">
        <v>4</v>
      </c>
      <c r="U36" t="n">
        <v>34</v>
      </c>
      <c r="V36" t="n">
        <v>34</v>
      </c>
      <c r="W36" t="n">
        <v>293503.6</v>
      </c>
      <c r="X36" t="n">
        <v>70567.7</v>
      </c>
      <c r="Y36" t="n">
        <v>953.1</v>
      </c>
      <c r="Z36" t="n">
        <v>209475</v>
      </c>
      <c r="AA36" t="n">
        <v>54476</v>
      </c>
      <c r="AB36" t="n">
        <v>289664</v>
      </c>
      <c r="AC36" t="n">
        <v>4506</v>
      </c>
      <c r="AD36" t="n">
        <v>2</v>
      </c>
      <c r="AE36" t="n">
        <v>93000</v>
      </c>
      <c r="AF36" t="n">
        <v>0</v>
      </c>
      <c r="AG36" t="n">
        <v>0</v>
      </c>
      <c r="AH36" t="n">
        <v>5</v>
      </c>
      <c r="AI36" t="n">
        <v>0</v>
      </c>
      <c r="AJ36" t="n">
        <v>0</v>
      </c>
      <c r="AK36" t="n">
        <v>0</v>
      </c>
      <c r="AL36" t="n">
        <v>12</v>
      </c>
      <c r="AM36" t="n">
        <v>2</v>
      </c>
      <c r="AN36" t="n">
        <v>3</v>
      </c>
      <c r="AO36" t="n">
        <v>3</v>
      </c>
      <c r="AP36" t="n">
        <v>0</v>
      </c>
      <c r="AQ36" t="n">
        <v>175</v>
      </c>
      <c r="AR36" t="n">
        <v>8</v>
      </c>
      <c r="AS36" t="n">
        <v>200</v>
      </c>
      <c r="AT36">
        <f>ROUND(100*N36/L36,2)</f>
        <v/>
      </c>
      <c r="AU36">
        <f>ROUND(100*N36/K36,2)</f>
        <v/>
      </c>
      <c r="AV36">
        <f>ROUND(100*H36/F36,2)</f>
        <v/>
      </c>
      <c r="AW36">
        <f>ROUND(100*N36/J36,2)</f>
        <v/>
      </c>
      <c r="AX36">
        <f>ROUND(100*Q36/P36,2)</f>
        <v/>
      </c>
      <c r="AY36">
        <f>ROUND(100*N36/O36,2)</f>
        <v/>
      </c>
      <c r="AZ36">
        <f>ROUND(H36/S36,2)</f>
        <v/>
      </c>
      <c r="BA36">
        <f>ROUND(T36/S36,2)</f>
        <v/>
      </c>
      <c r="BB36">
        <f>ROUND(I36,2)</f>
        <v/>
      </c>
      <c r="BC36">
        <f>ROUND(R36,2)</f>
        <v/>
      </c>
      <c r="BD36">
        <f>ROUND(100*V36/U36,2)</f>
        <v/>
      </c>
      <c r="BE36">
        <f>ROUND(1000*(W36+Y36)/N36,2)</f>
        <v/>
      </c>
      <c r="BF36">
        <f>ROUND(W36,2)</f>
        <v/>
      </c>
      <c r="BG36">
        <f>ROUND(X36,2)</f>
        <v/>
      </c>
      <c r="BH36">
        <f>ROUND(Z36,2)</f>
        <v/>
      </c>
      <c r="BI36">
        <f>ROUND(AA36,2)</f>
        <v/>
      </c>
      <c r="BJ36">
        <f>ROUND(AB36/N36,2)</f>
        <v/>
      </c>
      <c r="BK36">
        <f>ROUND(AC36,2)</f>
        <v/>
      </c>
      <c r="BL36">
        <f>ROUND(AD36,2)</f>
        <v/>
      </c>
      <c r="BM36">
        <f>ROUND(AP36,2)</f>
        <v/>
      </c>
      <c r="BN36">
        <f>ROUND(100*AR36/AQ36,2)</f>
        <v/>
      </c>
      <c r="BO36">
        <f>ROUND(AK36,2)</f>
        <v/>
      </c>
      <c r="BP36">
        <f>ROUND(200000*AF36/AE36,2)</f>
        <v/>
      </c>
      <c r="BQ36">
        <f>ROUND(AG36,2)</f>
        <v/>
      </c>
      <c r="BR36">
        <f>ROUND(AH36,2)</f>
        <v/>
      </c>
      <c r="BS36">
        <f>ROUND(AI36,2)</f>
        <v/>
      </c>
      <c r="BT36">
        <f>ROUND(AJ36,2)</f>
        <v/>
      </c>
      <c r="BU36">
        <f>ROUND(AL36,2)</f>
        <v/>
      </c>
      <c r="BV36">
        <f>ROUND(AM36,2)</f>
        <v/>
      </c>
      <c r="BW36">
        <f>ROUND(IF(AN36=0,100,100*AO36/AN36),2)</f>
        <v/>
      </c>
      <c r="BX36">
        <f>ROUND(AS36,2)</f>
        <v/>
      </c>
    </row>
    <row r="37">
      <c r="A37" t="inlineStr">
        <is>
          <t>Group</t>
        </is>
      </c>
      <c r="B37" t="inlineStr">
        <is>
          <t>Entity A2</t>
        </is>
      </c>
      <c r="C37" t="inlineStr">
        <is>
          <t>Plant 06</t>
        </is>
      </c>
      <c r="D37" t="inlineStr">
        <is>
          <t>2026-07</t>
        </is>
      </c>
      <c r="E37" t="n">
        <v>158.2</v>
      </c>
      <c r="F37" t="n">
        <v>744</v>
      </c>
      <c r="G37" t="n">
        <v>738</v>
      </c>
      <c r="H37" t="n">
        <v>699.9</v>
      </c>
      <c r="I37" t="n">
        <v>23.1</v>
      </c>
      <c r="J37" t="n">
        <v>116752</v>
      </c>
      <c r="K37" t="n">
        <v>117701</v>
      </c>
      <c r="L37" t="n">
        <v>103750</v>
      </c>
      <c r="M37" t="n">
        <v>103911</v>
      </c>
      <c r="N37" t="n">
        <v>100958</v>
      </c>
      <c r="O37" t="n">
        <v>112227</v>
      </c>
      <c r="P37" t="n">
        <v>21719</v>
      </c>
      <c r="Q37" t="n">
        <v>18318</v>
      </c>
      <c r="R37" t="n">
        <v>3654</v>
      </c>
      <c r="S37" t="n">
        <v>3</v>
      </c>
      <c r="T37" t="n">
        <v>16.9</v>
      </c>
      <c r="U37" t="n">
        <v>31</v>
      </c>
      <c r="V37" t="n">
        <v>29</v>
      </c>
      <c r="W37" t="n">
        <v>315593.3</v>
      </c>
      <c r="X37" t="n">
        <v>100678.8</v>
      </c>
      <c r="Y37" t="n">
        <v>1062.1</v>
      </c>
      <c r="Z37" t="n">
        <v>220957</v>
      </c>
      <c r="AA37" t="n">
        <v>68538</v>
      </c>
      <c r="AB37" t="n">
        <v>303194</v>
      </c>
      <c r="AC37" t="n">
        <v>1940</v>
      </c>
      <c r="AD37" t="n">
        <v>0</v>
      </c>
      <c r="AE37" t="n">
        <v>86000</v>
      </c>
      <c r="AF37" t="n">
        <v>0</v>
      </c>
      <c r="AG37" t="n">
        <v>0</v>
      </c>
      <c r="AH37" t="n">
        <v>6</v>
      </c>
      <c r="AI37" t="n">
        <v>0</v>
      </c>
      <c r="AJ37" t="n">
        <v>0</v>
      </c>
      <c r="AK37" t="n">
        <v>0</v>
      </c>
      <c r="AL37" t="n">
        <v>9</v>
      </c>
      <c r="AM37" t="n">
        <v>1</v>
      </c>
      <c r="AN37" t="n">
        <v>3</v>
      </c>
      <c r="AO37" t="n">
        <v>2</v>
      </c>
      <c r="AP37" t="n">
        <v>2</v>
      </c>
      <c r="AQ37" t="n">
        <v>153</v>
      </c>
      <c r="AR37" t="n">
        <v>12</v>
      </c>
      <c r="AS37" t="n">
        <v>170</v>
      </c>
      <c r="AT37">
        <f>ROUND(100*N37/L37,2)</f>
        <v/>
      </c>
      <c r="AU37">
        <f>ROUND(100*N37/K37,2)</f>
        <v/>
      </c>
      <c r="AV37">
        <f>ROUND(100*H37/F37,2)</f>
        <v/>
      </c>
      <c r="AW37">
        <f>ROUND(100*N37/J37,2)</f>
        <v/>
      </c>
      <c r="AX37">
        <f>ROUND(100*Q37/P37,2)</f>
        <v/>
      </c>
      <c r="AY37">
        <f>ROUND(100*N37/O37,2)</f>
        <v/>
      </c>
      <c r="AZ37">
        <f>ROUND(H37/S37,2)</f>
        <v/>
      </c>
      <c r="BA37">
        <f>ROUND(T37/S37,2)</f>
        <v/>
      </c>
      <c r="BB37">
        <f>ROUND(I37,2)</f>
        <v/>
      </c>
      <c r="BC37">
        <f>ROUND(R37,2)</f>
        <v/>
      </c>
      <c r="BD37">
        <f>ROUND(100*V37/U37,2)</f>
        <v/>
      </c>
      <c r="BE37">
        <f>ROUND(1000*(W37+Y37)/N37,2)</f>
        <v/>
      </c>
      <c r="BF37">
        <f>ROUND(W37,2)</f>
        <v/>
      </c>
      <c r="BG37">
        <f>ROUND(X37,2)</f>
        <v/>
      </c>
      <c r="BH37">
        <f>ROUND(Z37,2)</f>
        <v/>
      </c>
      <c r="BI37">
        <f>ROUND(AA37,2)</f>
        <v/>
      </c>
      <c r="BJ37">
        <f>ROUND(AB37/N37,2)</f>
        <v/>
      </c>
      <c r="BK37">
        <f>ROUND(AC37,2)</f>
        <v/>
      </c>
      <c r="BL37">
        <f>ROUND(AD37,2)</f>
        <v/>
      </c>
      <c r="BM37">
        <f>ROUND(AP37,2)</f>
        <v/>
      </c>
      <c r="BN37">
        <f>ROUND(100*AR37/AQ37,2)</f>
        <v/>
      </c>
      <c r="BO37">
        <f>ROUND(AK37,2)</f>
        <v/>
      </c>
      <c r="BP37">
        <f>ROUND(200000*AF37/AE37,2)</f>
        <v/>
      </c>
      <c r="BQ37">
        <f>ROUND(AG37,2)</f>
        <v/>
      </c>
      <c r="BR37">
        <f>ROUND(AH37,2)</f>
        <v/>
      </c>
      <c r="BS37">
        <f>ROUND(AI37,2)</f>
        <v/>
      </c>
      <c r="BT37">
        <f>ROUND(AJ37,2)</f>
        <v/>
      </c>
      <c r="BU37">
        <f>ROUND(AL37,2)</f>
        <v/>
      </c>
      <c r="BV37">
        <f>ROUND(AM37,2)</f>
        <v/>
      </c>
      <c r="BW37">
        <f>ROUND(IF(AN37=0,100,100*AO37/AN37),2)</f>
        <v/>
      </c>
      <c r="BX37">
        <f>ROUND(AS37,2)</f>
        <v/>
      </c>
    </row>
    <row r="38">
      <c r="A38" t="inlineStr">
        <is>
          <t>Group</t>
        </is>
      </c>
      <c r="B38" t="inlineStr">
        <is>
          <t>Entity A2</t>
        </is>
      </c>
      <c r="C38" t="inlineStr">
        <is>
          <t>Plant 06</t>
        </is>
      </c>
      <c r="D38" t="inlineStr">
        <is>
          <t>2026-08</t>
        </is>
      </c>
      <c r="E38" t="n">
        <v>158.2</v>
      </c>
      <c r="F38" t="n">
        <v>744</v>
      </c>
      <c r="G38" t="n">
        <v>744</v>
      </c>
      <c r="H38" t="n">
        <v>702</v>
      </c>
      <c r="I38" t="n">
        <v>23.5</v>
      </c>
      <c r="J38" t="n">
        <v>117701</v>
      </c>
      <c r="K38" t="n">
        <v>117701</v>
      </c>
      <c r="L38" t="n">
        <v>105368</v>
      </c>
      <c r="M38" t="n">
        <v>100223</v>
      </c>
      <c r="N38" t="n">
        <v>97315</v>
      </c>
      <c r="O38" t="n">
        <v>105052</v>
      </c>
      <c r="P38" t="n">
        <v>24299</v>
      </c>
      <c r="Q38" t="n">
        <v>21958</v>
      </c>
      <c r="R38" t="n">
        <v>3718</v>
      </c>
      <c r="S38" t="n">
        <v>4</v>
      </c>
      <c r="T38" t="n">
        <v>14.8</v>
      </c>
      <c r="U38" t="n">
        <v>30</v>
      </c>
      <c r="V38" t="n">
        <v>30</v>
      </c>
      <c r="W38" t="n">
        <v>329106.6</v>
      </c>
      <c r="X38" t="n">
        <v>89325.10000000001</v>
      </c>
      <c r="Y38" t="n">
        <v>1485.5</v>
      </c>
      <c r="Z38" t="n">
        <v>185666</v>
      </c>
      <c r="AA38" t="n">
        <v>60804</v>
      </c>
      <c r="AB38" t="n">
        <v>349459</v>
      </c>
      <c r="AC38" t="n">
        <v>5827</v>
      </c>
      <c r="AD38" t="n">
        <v>2</v>
      </c>
      <c r="AE38" t="n">
        <v>57000</v>
      </c>
      <c r="AF38" t="n">
        <v>1</v>
      </c>
      <c r="AG38" t="n">
        <v>0</v>
      </c>
      <c r="AH38" t="n">
        <v>10</v>
      </c>
      <c r="AI38" t="n">
        <v>0</v>
      </c>
      <c r="AJ38" t="n">
        <v>0</v>
      </c>
      <c r="AK38" t="n">
        <v>0</v>
      </c>
      <c r="AL38" t="n">
        <v>6</v>
      </c>
      <c r="AM38" t="n">
        <v>0</v>
      </c>
      <c r="AN38" t="n">
        <v>3</v>
      </c>
      <c r="AO38" t="n">
        <v>3</v>
      </c>
      <c r="AP38" t="n">
        <v>0</v>
      </c>
      <c r="AQ38" t="n">
        <v>231</v>
      </c>
      <c r="AR38" t="n">
        <v>8</v>
      </c>
      <c r="AS38" t="n">
        <v>140</v>
      </c>
      <c r="AT38">
        <f>ROUND(100*N38/L38,2)</f>
        <v/>
      </c>
      <c r="AU38">
        <f>ROUND(100*N38/K38,2)</f>
        <v/>
      </c>
      <c r="AV38">
        <f>ROUND(100*H38/F38,2)</f>
        <v/>
      </c>
      <c r="AW38">
        <f>ROUND(100*N38/J38,2)</f>
        <v/>
      </c>
      <c r="AX38">
        <f>ROUND(100*Q38/P38,2)</f>
        <v/>
      </c>
      <c r="AY38">
        <f>ROUND(100*N38/O38,2)</f>
        <v/>
      </c>
      <c r="AZ38">
        <f>ROUND(H38/S38,2)</f>
        <v/>
      </c>
      <c r="BA38">
        <f>ROUND(T38/S38,2)</f>
        <v/>
      </c>
      <c r="BB38">
        <f>ROUND(I38,2)</f>
        <v/>
      </c>
      <c r="BC38">
        <f>ROUND(R38,2)</f>
        <v/>
      </c>
      <c r="BD38">
        <f>ROUND(100*V38/U38,2)</f>
        <v/>
      </c>
      <c r="BE38">
        <f>ROUND(1000*(W38+Y38)/N38,2)</f>
        <v/>
      </c>
      <c r="BF38">
        <f>ROUND(W38,2)</f>
        <v/>
      </c>
      <c r="BG38">
        <f>ROUND(X38,2)</f>
        <v/>
      </c>
      <c r="BH38">
        <f>ROUND(Z38,2)</f>
        <v/>
      </c>
      <c r="BI38">
        <f>ROUND(AA38,2)</f>
        <v/>
      </c>
      <c r="BJ38">
        <f>ROUND(AB38/N38,2)</f>
        <v/>
      </c>
      <c r="BK38">
        <f>ROUND(AC38,2)</f>
        <v/>
      </c>
      <c r="BL38">
        <f>ROUND(AD38,2)</f>
        <v/>
      </c>
      <c r="BM38">
        <f>ROUND(AP38,2)</f>
        <v/>
      </c>
      <c r="BN38">
        <f>ROUND(100*AR38/AQ38,2)</f>
        <v/>
      </c>
      <c r="BO38">
        <f>ROUND(AK38,2)</f>
        <v/>
      </c>
      <c r="BP38">
        <f>ROUND(200000*AF38/AE38,2)</f>
        <v/>
      </c>
      <c r="BQ38">
        <f>ROUND(AG38,2)</f>
        <v/>
      </c>
      <c r="BR38">
        <f>ROUND(AH38,2)</f>
        <v/>
      </c>
      <c r="BS38">
        <f>ROUND(AI38,2)</f>
        <v/>
      </c>
      <c r="BT38">
        <f>ROUND(AJ38,2)</f>
        <v/>
      </c>
      <c r="BU38">
        <f>ROUND(AL38,2)</f>
        <v/>
      </c>
      <c r="BV38">
        <f>ROUND(AM38,2)</f>
        <v/>
      </c>
      <c r="BW38">
        <f>ROUND(IF(AN38=0,100,100*AO38/AN38),2)</f>
        <v/>
      </c>
      <c r="BX38">
        <f>ROUND(AS38,2)</f>
        <v/>
      </c>
    </row>
    <row r="39">
      <c r="A39" t="inlineStr">
        <is>
          <t>Group</t>
        </is>
      </c>
      <c r="B39" t="inlineStr">
        <is>
          <t>Entity A2</t>
        </is>
      </c>
      <c r="C39" t="inlineStr">
        <is>
          <t>Plant 06</t>
        </is>
      </c>
      <c r="D39" t="inlineStr">
        <is>
          <t>2026-09</t>
        </is>
      </c>
      <c r="E39" t="n">
        <v>158.2</v>
      </c>
      <c r="F39" t="n">
        <v>720</v>
      </c>
      <c r="G39" t="n">
        <v>712</v>
      </c>
      <c r="H39" t="n">
        <v>680.7</v>
      </c>
      <c r="I39" t="n">
        <v>13.4</v>
      </c>
      <c r="J39" t="n">
        <v>112638</v>
      </c>
      <c r="K39" t="n">
        <v>113904</v>
      </c>
      <c r="L39" t="n">
        <v>98037</v>
      </c>
      <c r="M39" t="n">
        <v>97437</v>
      </c>
      <c r="N39" t="n">
        <v>94388</v>
      </c>
      <c r="O39" t="n">
        <v>101633</v>
      </c>
      <c r="P39" t="n">
        <v>20587</v>
      </c>
      <c r="Q39" t="n">
        <v>17410</v>
      </c>
      <c r="R39" t="n">
        <v>2120</v>
      </c>
      <c r="S39" t="n">
        <v>1</v>
      </c>
      <c r="T39" t="n">
        <v>6.5</v>
      </c>
      <c r="U39" t="n">
        <v>36</v>
      </c>
      <c r="V39" t="n">
        <v>34</v>
      </c>
      <c r="W39" t="n">
        <v>262617.2</v>
      </c>
      <c r="X39" t="n">
        <v>65862.8</v>
      </c>
      <c r="Y39" t="n">
        <v>1573</v>
      </c>
      <c r="Z39" t="n">
        <v>230619</v>
      </c>
      <c r="AA39" t="n">
        <v>63239</v>
      </c>
      <c r="AB39" t="n">
        <v>287280</v>
      </c>
      <c r="AC39" t="n">
        <v>5880</v>
      </c>
      <c r="AD39" t="n">
        <v>1</v>
      </c>
      <c r="AE39" t="n">
        <v>89000</v>
      </c>
      <c r="AF39" t="n">
        <v>0</v>
      </c>
      <c r="AG39" t="n">
        <v>1</v>
      </c>
      <c r="AH39" t="n">
        <v>9</v>
      </c>
      <c r="AI39" t="n">
        <v>0</v>
      </c>
      <c r="AJ39" t="n">
        <v>0</v>
      </c>
      <c r="AK39" t="n">
        <v>0</v>
      </c>
      <c r="AL39" t="n">
        <v>5</v>
      </c>
      <c r="AM39" t="n">
        <v>1</v>
      </c>
      <c r="AN39" t="n">
        <v>0</v>
      </c>
      <c r="AO39" t="n">
        <v>0</v>
      </c>
      <c r="AP39" t="n">
        <v>1</v>
      </c>
      <c r="AQ39" t="n">
        <v>125</v>
      </c>
      <c r="AR39" t="n">
        <v>3</v>
      </c>
      <c r="AS39" t="n">
        <v>110</v>
      </c>
      <c r="AT39">
        <f>ROUND(100*N39/L39,2)</f>
        <v/>
      </c>
      <c r="AU39">
        <f>ROUND(100*N39/K39,2)</f>
        <v/>
      </c>
      <c r="AV39">
        <f>ROUND(100*H39/F39,2)</f>
        <v/>
      </c>
      <c r="AW39">
        <f>ROUND(100*N39/J39,2)</f>
        <v/>
      </c>
      <c r="AX39">
        <f>ROUND(100*Q39/P39,2)</f>
        <v/>
      </c>
      <c r="AY39">
        <f>ROUND(100*N39/O39,2)</f>
        <v/>
      </c>
      <c r="AZ39">
        <f>ROUND(H39/S39,2)</f>
        <v/>
      </c>
      <c r="BA39">
        <f>ROUND(T39/S39,2)</f>
        <v/>
      </c>
      <c r="BB39">
        <f>ROUND(I39,2)</f>
        <v/>
      </c>
      <c r="BC39">
        <f>ROUND(R39,2)</f>
        <v/>
      </c>
      <c r="BD39">
        <f>ROUND(100*V39/U39,2)</f>
        <v/>
      </c>
      <c r="BE39">
        <f>ROUND(1000*(W39+Y39)/N39,2)</f>
        <v/>
      </c>
      <c r="BF39">
        <f>ROUND(W39,2)</f>
        <v/>
      </c>
      <c r="BG39">
        <f>ROUND(X39,2)</f>
        <v/>
      </c>
      <c r="BH39">
        <f>ROUND(Z39,2)</f>
        <v/>
      </c>
      <c r="BI39">
        <f>ROUND(AA39,2)</f>
        <v/>
      </c>
      <c r="BJ39">
        <f>ROUND(AB39/N39,2)</f>
        <v/>
      </c>
      <c r="BK39">
        <f>ROUND(AC39,2)</f>
        <v/>
      </c>
      <c r="BL39">
        <f>ROUND(AD39,2)</f>
        <v/>
      </c>
      <c r="BM39">
        <f>ROUND(AP39,2)</f>
        <v/>
      </c>
      <c r="BN39">
        <f>ROUND(100*AR39/AQ39,2)</f>
        <v/>
      </c>
      <c r="BO39">
        <f>ROUND(AK39,2)</f>
        <v/>
      </c>
      <c r="BP39">
        <f>ROUND(200000*AF39/AE39,2)</f>
        <v/>
      </c>
      <c r="BQ39">
        <f>ROUND(AG39,2)</f>
        <v/>
      </c>
      <c r="BR39">
        <f>ROUND(AH39,2)</f>
        <v/>
      </c>
      <c r="BS39">
        <f>ROUND(AI39,2)</f>
        <v/>
      </c>
      <c r="BT39">
        <f>ROUND(AJ39,2)</f>
        <v/>
      </c>
      <c r="BU39">
        <f>ROUND(AL39,2)</f>
        <v/>
      </c>
      <c r="BV39">
        <f>ROUND(AM39,2)</f>
        <v/>
      </c>
      <c r="BW39">
        <f>ROUND(IF(AN39=0,100,100*AO39/AN39),2)</f>
        <v/>
      </c>
      <c r="BX39">
        <f>ROUND(AS39,2)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70" customWidth="1" min="4" max="4"/>
    <col width="60" customWidth="1" min="5" max="5"/>
    <col width="24" customWidth="1" min="6" max="6"/>
  </cols>
  <sheetData>
    <row r="1">
      <c r="A1" s="4" t="inlineStr">
        <is>
          <t>kpi_id</t>
        </is>
      </c>
      <c r="B1" s="4" t="inlineStr">
        <is>
          <t>measure</t>
        </is>
      </c>
      <c r="C1" s="4" t="inlineStr">
        <is>
          <t>unit</t>
        </is>
      </c>
      <c r="D1" s="4" t="inlineStr">
        <is>
          <t>formula</t>
        </is>
      </c>
      <c r="E1" s="4" t="inlineStr">
        <is>
          <t>excel_formula (row 4 example)</t>
        </is>
      </c>
      <c r="F1" s="4" t="inlineStr">
        <is>
          <t>inputs_built_from</t>
        </is>
      </c>
    </row>
    <row r="2">
      <c r="A2" t="inlineStr">
        <is>
          <t>OPS-001</t>
        </is>
      </c>
      <c r="B2" t="inlineStr">
        <is>
          <t>Production vs plan</t>
        </is>
      </c>
      <c r="C2" t="inlineStr">
        <is>
          <t>%</t>
        </is>
      </c>
      <c r="D2" t="inlineStr">
        <is>
          <t>good_output_t / planned_production_t x 100</t>
        </is>
      </c>
      <c r="E2">
        <f>ROUND(100*N4/L4,2)</f>
        <v/>
      </c>
      <c r="F2" t="inlineStr">
        <is>
          <t>plant input (mock)</t>
        </is>
      </c>
    </row>
    <row r="3">
      <c r="A3" t="inlineStr">
        <is>
          <t>OPS-003</t>
        </is>
      </c>
      <c r="B3" t="inlineStr">
        <is>
          <t>Capacity utilization</t>
        </is>
      </c>
      <c r="C3" t="inlineStr">
        <is>
          <t>%</t>
        </is>
      </c>
      <c r="D3" t="inlineStr">
        <is>
          <t>good_output_t / installed_capacity_t x 100</t>
        </is>
      </c>
      <c r="E3">
        <f>ROUND(100*N4/K4,2)</f>
        <v/>
      </c>
      <c r="F3" t="inlineStr">
        <is>
          <t>plant input (mock)</t>
        </is>
      </c>
    </row>
    <row r="4">
      <c r="A4" t="inlineStr">
        <is>
          <t>PLT-001</t>
        </is>
      </c>
      <c r="B4" t="inlineStr">
        <is>
          <t>Asset utilization</t>
        </is>
      </c>
      <c r="C4" t="inlineStr">
        <is>
          <t>%</t>
        </is>
      </c>
      <c r="D4" t="inlineStr">
        <is>
          <t>run_hours / calendar_hours x 100</t>
        </is>
      </c>
      <c r="E4">
        <f>ROUND(100*H4/F4,2)</f>
        <v/>
      </c>
      <c r="F4" t="inlineStr">
        <is>
          <t>plant input (mock)</t>
        </is>
      </c>
    </row>
    <row r="5">
      <c r="A5" t="inlineStr">
        <is>
          <t>PLT-002</t>
        </is>
      </c>
      <c r="B5" t="inlineStr">
        <is>
          <t>OEE</t>
        </is>
      </c>
      <c r="C5" t="inlineStr">
        <is>
          <t>%</t>
        </is>
      </c>
      <c r="D5" t="inlineStr">
        <is>
          <t>Availability x Performance x Quality = good_output_t / ideal_output_t x 100</t>
        </is>
      </c>
      <c r="E5">
        <f>ROUND(100*N4/J4,2)</f>
        <v/>
      </c>
      <c r="F5" t="inlineStr">
        <is>
          <t>plant input (mock)</t>
        </is>
      </c>
    </row>
    <row r="6">
      <c r="A6" t="inlineStr">
        <is>
          <t>PLT-004</t>
        </is>
      </c>
      <c r="B6" t="inlineStr">
        <is>
          <t>Recovery percentage</t>
        </is>
      </c>
      <c r="C6" t="inlineStr">
        <is>
          <t>%</t>
        </is>
      </c>
      <c r="D6" t="inlineStr">
        <is>
          <t>recovered_contained_t / feed_contained_t x 100</t>
        </is>
      </c>
      <c r="E6">
        <f>ROUND(100*Q4/P4,2)</f>
        <v/>
      </c>
      <c r="F6" t="inlineStr">
        <is>
          <t>plant input (mock)</t>
        </is>
      </c>
    </row>
    <row r="7">
      <c r="A7" t="inlineStr">
        <is>
          <t>PLT-005</t>
        </is>
      </c>
      <c r="B7" t="inlineStr">
        <is>
          <t>Yield</t>
        </is>
      </c>
      <c r="C7" t="inlineStr">
        <is>
          <t>%</t>
        </is>
      </c>
      <c r="D7" t="inlineStr">
        <is>
          <t>good_output_t / feed_input_t x 100</t>
        </is>
      </c>
      <c r="E7">
        <f>ROUND(100*N4/O4,2)</f>
        <v/>
      </c>
      <c r="F7" t="inlineStr">
        <is>
          <t>plant input (mock)</t>
        </is>
      </c>
    </row>
    <row r="8">
      <c r="A8" t="inlineStr">
        <is>
          <t>REL-001</t>
        </is>
      </c>
      <c r="B8" t="inlineStr">
        <is>
          <t>MTBF</t>
        </is>
      </c>
      <c r="C8" t="inlineStr">
        <is>
          <t>h</t>
        </is>
      </c>
      <c r="D8" t="inlineStr">
        <is>
          <t>run_hours / failures</t>
        </is>
      </c>
      <c r="E8">
        <f>ROUND(H4/S4,2)</f>
        <v/>
      </c>
      <c r="F8" t="inlineStr">
        <is>
          <t>plant input (mock)</t>
        </is>
      </c>
    </row>
    <row r="9">
      <c r="A9" t="inlineStr">
        <is>
          <t>REL-002</t>
        </is>
      </c>
      <c r="B9" t="inlineStr">
        <is>
          <t>Mean Time to Repair</t>
        </is>
      </c>
      <c r="C9" t="inlineStr">
        <is>
          <t>h</t>
        </is>
      </c>
      <c r="D9" t="inlineStr">
        <is>
          <t>repair_hours / failures</t>
        </is>
      </c>
      <c r="E9">
        <f>ROUND(T4/S4,2)</f>
        <v/>
      </c>
      <c r="F9" t="inlineStr">
        <is>
          <t>plant input (mock)</t>
        </is>
      </c>
    </row>
    <row r="10">
      <c r="A10" t="inlineStr">
        <is>
          <t>REL-003</t>
        </is>
      </c>
      <c r="B10" t="inlineStr">
        <is>
          <t>Unplanned downtime</t>
        </is>
      </c>
      <c r="C10" t="inlineStr">
        <is>
          <t>h</t>
        </is>
      </c>
      <c r="D10" t="inlineStr">
        <is>
          <t>unplanned_downtime_hours</t>
        </is>
      </c>
      <c r="E10">
        <f>ROUND(I4,2)</f>
        <v/>
      </c>
      <c r="F10" t="inlineStr">
        <is>
          <t>plant input (mock)</t>
        </is>
      </c>
    </row>
    <row r="11">
      <c r="A11" t="inlineStr">
        <is>
          <t>REL-004</t>
        </is>
      </c>
      <c r="B11" t="inlineStr">
        <is>
          <t>Production loss from downtime</t>
        </is>
      </c>
      <c r="C11" t="inlineStr">
        <is>
          <t>t</t>
        </is>
      </c>
      <c r="D11" t="inlineStr">
        <is>
          <t>prod_loss_downtime_t</t>
        </is>
      </c>
      <c r="E11">
        <f>ROUND(R4,2)</f>
        <v/>
      </c>
      <c r="F11" t="inlineStr">
        <is>
          <t>plant input (mock)</t>
        </is>
      </c>
    </row>
    <row r="12">
      <c r="A12" t="inlineStr">
        <is>
          <t>REL-005</t>
        </is>
      </c>
      <c r="B12" t="inlineStr">
        <is>
          <t>Preventive-maintenance compliance</t>
        </is>
      </c>
      <c r="C12" t="inlineStr">
        <is>
          <t>%</t>
        </is>
      </c>
      <c r="D12" t="inlineStr">
        <is>
          <t>pm_completed / pm_scheduled x 100</t>
        </is>
      </c>
      <c r="E12">
        <f>ROUND(100*V4/U4,2)</f>
        <v/>
      </c>
      <c r="F12" t="inlineStr">
        <is>
          <t>plant input (mock)</t>
        </is>
      </c>
    </row>
    <row r="13">
      <c r="A13" t="inlineStr">
        <is>
          <t>CST-001</t>
        </is>
      </c>
      <c r="B13" t="inlineStr">
        <is>
          <t>Cost per tonne</t>
        </is>
      </c>
      <c r="C13" t="inlineStr">
        <is>
          <t>cur/t</t>
        </is>
      </c>
      <c r="D13" t="inlineStr">
        <is>
          <t>(variable_cost_k + fixed_cost_k) x 1000 / good_output_t</t>
        </is>
      </c>
      <c r="E13">
        <f>ROUND(1000*(W4+Y4)/N4,2)</f>
        <v/>
      </c>
      <c r="F13" t="inlineStr">
        <is>
          <t>plant input (mock)</t>
        </is>
      </c>
    </row>
    <row r="14">
      <c r="A14" t="inlineStr">
        <is>
          <t>CST-002</t>
        </is>
      </c>
      <c r="B14" t="inlineStr">
        <is>
          <t>Variable cost</t>
        </is>
      </c>
      <c r="C14" t="inlineStr">
        <is>
          <t>cur k</t>
        </is>
      </c>
      <c r="D14" t="inlineStr">
        <is>
          <t>variable_cost_k</t>
        </is>
      </c>
      <c r="E14">
        <f>ROUND(W4,2)</f>
        <v/>
      </c>
      <c r="F14" t="inlineStr">
        <is>
          <t>plant input (mock)</t>
        </is>
      </c>
    </row>
    <row r="15">
      <c r="A15" t="inlineStr">
        <is>
          <t>CST-003</t>
        </is>
      </c>
      <c r="B15" t="inlineStr">
        <is>
          <t>Fuel cost</t>
        </is>
      </c>
      <c r="C15" t="inlineStr">
        <is>
          <t>cur k</t>
        </is>
      </c>
      <c r="D15" t="inlineStr">
        <is>
          <t>fuel_cost_k</t>
        </is>
      </c>
      <c r="E15">
        <f>ROUND(X4,2)</f>
        <v/>
      </c>
      <c r="F15" t="inlineStr">
        <is>
          <t>plant input (mock)</t>
        </is>
      </c>
    </row>
    <row r="16">
      <c r="A16" t="inlineStr">
        <is>
          <t>SUS-001</t>
        </is>
      </c>
      <c r="B16" t="inlineStr">
        <is>
          <t>Water usage</t>
        </is>
      </c>
      <c r="C16" t="inlineStr">
        <is>
          <t>m3</t>
        </is>
      </c>
      <c r="D16" t="inlineStr">
        <is>
          <t>water_m3</t>
        </is>
      </c>
      <c r="E16">
        <f>ROUND(Z4,2)</f>
        <v/>
      </c>
      <c r="F16" t="inlineStr">
        <is>
          <t>plant input (mock)</t>
        </is>
      </c>
    </row>
    <row r="17">
      <c r="A17" t="inlineStr">
        <is>
          <t>SUS-002</t>
        </is>
      </c>
      <c r="B17" t="inlineStr">
        <is>
          <t>Emissions</t>
        </is>
      </c>
      <c r="C17" t="inlineStr">
        <is>
          <t>tCO2e</t>
        </is>
      </c>
      <c r="D17" t="inlineStr">
        <is>
          <t>emissions_tco2e</t>
        </is>
      </c>
      <c r="E17">
        <f>ROUND(AA4,2)</f>
        <v/>
      </c>
      <c r="F17" t="inlineStr">
        <is>
          <t>plant input (mock)</t>
        </is>
      </c>
    </row>
    <row r="18">
      <c r="A18" t="inlineStr">
        <is>
          <t>SUS-003</t>
        </is>
      </c>
      <c r="B18" t="inlineStr">
        <is>
          <t>Energy intensity</t>
        </is>
      </c>
      <c r="C18" t="inlineStr">
        <is>
          <t>GJ/t</t>
        </is>
      </c>
      <c r="D18" t="inlineStr">
        <is>
          <t>energy_gj / good_output_t</t>
        </is>
      </c>
      <c r="E18">
        <f>ROUND(AB4/N4,2)</f>
        <v/>
      </c>
      <c r="F18" t="inlineStr">
        <is>
          <t>plant input (mock)</t>
        </is>
      </c>
    </row>
    <row r="19">
      <c r="A19" t="inlineStr">
        <is>
          <t>SIG-007</t>
        </is>
      </c>
      <c r="B19" t="inlineStr">
        <is>
          <t>Production at risk</t>
        </is>
      </c>
      <c r="C19" t="inlineStr">
        <is>
          <t>t</t>
        </is>
      </c>
      <c r="D19" t="inlineStr">
        <is>
          <t>production_at_risk_t</t>
        </is>
      </c>
      <c r="E19">
        <f>ROUND(AC4,2)</f>
        <v/>
      </c>
      <c r="F19" t="inlineStr">
        <is>
          <t>plant input (mock)</t>
        </is>
      </c>
    </row>
    <row r="20">
      <c r="A20" t="inlineStr">
        <is>
          <t>SIG-008</t>
        </is>
      </c>
      <c r="B20" t="inlineStr">
        <is>
          <t>Critical plant-state alerts</t>
        </is>
      </c>
      <c r="C20" t="inlineStr">
        <is>
          <t>count</t>
        </is>
      </c>
      <c r="D20" t="inlineStr">
        <is>
          <t>critical_plant_alerts</t>
        </is>
      </c>
      <c r="E20">
        <f>ROUND(AD4,2)</f>
        <v/>
      </c>
      <c r="F20" t="inlineStr">
        <is>
          <t>plant input (mock)</t>
        </is>
      </c>
    </row>
    <row r="21">
      <c r="A21" t="inlineStr">
        <is>
          <t>SIG-009</t>
        </is>
      </c>
      <c r="B21" t="inlineStr">
        <is>
          <t>Critical-material shortage risk</t>
        </is>
      </c>
      <c r="C21" t="inlineStr">
        <is>
          <t>count</t>
        </is>
      </c>
      <c r="D21" t="inlineStr">
        <is>
          <t>critical_material_risks</t>
        </is>
      </c>
      <c r="E21">
        <f>ROUND(AP4,2)</f>
        <v/>
      </c>
      <c r="F21" t="inlineStr">
        <is>
          <t>plant input (mock)</t>
        </is>
      </c>
    </row>
    <row r="22">
      <c r="A22" t="inlineStr">
        <is>
          <t>SIG-012</t>
        </is>
      </c>
      <c r="B22" t="inlineStr">
        <is>
          <t>Dispatch delays</t>
        </is>
      </c>
      <c r="C22" t="inlineStr">
        <is>
          <t>%</t>
        </is>
      </c>
      <c r="D22" t="inlineStr">
        <is>
          <t>dispatches_delayed / dispatches_total x 100</t>
        </is>
      </c>
      <c r="E22">
        <f>ROUND(100*AR4/AQ4,2)</f>
        <v/>
      </c>
      <c r="F22" t="inlineStr">
        <is>
          <t>plant input (mock)</t>
        </is>
      </c>
    </row>
    <row r="23">
      <c r="A23" t="inlineStr">
        <is>
          <t>SIG-021</t>
        </is>
      </c>
      <c r="B23" t="inlineStr">
        <is>
          <t>Environmental violations</t>
        </is>
      </c>
      <c r="C23" t="inlineStr">
        <is>
          <t>count</t>
        </is>
      </c>
      <c r="D23" t="inlineStr">
        <is>
          <t>env_violations</t>
        </is>
      </c>
      <c r="E23">
        <f>ROUND(AK4,2)</f>
        <v/>
      </c>
      <c r="F23" t="inlineStr">
        <is>
          <t>plant input (mock)</t>
        </is>
      </c>
    </row>
    <row r="24">
      <c r="A24" t="inlineStr">
        <is>
          <t>EHS-001</t>
        </is>
      </c>
      <c r="B24" t="inlineStr">
        <is>
          <t>TRIR</t>
        </is>
      </c>
      <c r="C24" t="inlineStr">
        <is>
          <t>per 200k h</t>
        </is>
      </c>
      <c r="D24" t="inlineStr">
        <is>
          <t>recordable_injuries x 200,000 / hours_worked</t>
        </is>
      </c>
      <c r="E24">
        <f>ROUND(200000*AF4/AE4,2)</f>
        <v/>
      </c>
      <c r="F24" t="inlineStr">
        <is>
          <t>plant input (mock)</t>
        </is>
      </c>
    </row>
    <row r="25">
      <c r="A25" t="inlineStr">
        <is>
          <t>EHS-002</t>
        </is>
      </c>
      <c r="B25" t="inlineStr">
        <is>
          <t>Severity incidents</t>
        </is>
      </c>
      <c r="C25" t="inlineStr">
        <is>
          <t>count</t>
        </is>
      </c>
      <c r="D25" t="inlineStr">
        <is>
          <t>severity_incidents</t>
        </is>
      </c>
      <c r="E25">
        <f>ROUND(AG4,2)</f>
        <v/>
      </c>
      <c r="F25" t="inlineStr">
        <is>
          <t>plant input (mock)</t>
        </is>
      </c>
    </row>
    <row r="26">
      <c r="A26" t="inlineStr">
        <is>
          <t>EHS-003</t>
        </is>
      </c>
      <c r="B26" t="inlineStr">
        <is>
          <t>Near misses</t>
        </is>
      </c>
      <c r="C26" t="inlineStr">
        <is>
          <t>count</t>
        </is>
      </c>
      <c r="D26" t="inlineStr">
        <is>
          <t>near_misses</t>
        </is>
      </c>
      <c r="E26">
        <f>ROUND(AH4,2)</f>
        <v/>
      </c>
      <c r="F26" t="inlineStr">
        <is>
          <t>plant input (mock)</t>
        </is>
      </c>
    </row>
    <row r="27">
      <c r="A27" t="inlineStr">
        <is>
          <t>EHS-004</t>
        </is>
      </c>
      <c r="B27" t="inlineStr">
        <is>
          <t>Critical safety incidents</t>
        </is>
      </c>
      <c r="C27" t="inlineStr">
        <is>
          <t>count</t>
        </is>
      </c>
      <c r="D27" t="inlineStr">
        <is>
          <t>critical_safety_incidents</t>
        </is>
      </c>
      <c r="E27">
        <f>ROUND(AI4,2)</f>
        <v/>
      </c>
      <c r="F27" t="inlineStr">
        <is>
          <t>plant input (mock)</t>
        </is>
      </c>
    </row>
    <row r="28">
      <c r="A28" t="inlineStr">
        <is>
          <t>EHS-005</t>
        </is>
      </c>
      <c r="B28" t="inlineStr">
        <is>
          <t>Environmental excursions</t>
        </is>
      </c>
      <c r="C28" t="inlineStr">
        <is>
          <t>count</t>
        </is>
      </c>
      <c r="D28" t="inlineStr">
        <is>
          <t>env_excursions</t>
        </is>
      </c>
      <c r="E28">
        <f>ROUND(AJ4,2)</f>
        <v/>
      </c>
      <c r="F28" t="inlineStr">
        <is>
          <t>plant input (mock)</t>
        </is>
      </c>
    </row>
    <row r="29">
      <c r="A29" t="inlineStr">
        <is>
          <t>EHS-006</t>
        </is>
      </c>
      <c r="B29" t="inlineStr">
        <is>
          <t>Open EHS corrective actions</t>
        </is>
      </c>
      <c r="C29" t="inlineStr">
        <is>
          <t>count</t>
        </is>
      </c>
      <c r="D29" t="inlineStr">
        <is>
          <t>ehs_ca_open</t>
        </is>
      </c>
      <c r="E29">
        <f>ROUND(AL4,2)</f>
        <v/>
      </c>
      <c r="F29" t="inlineStr">
        <is>
          <t>plant input (mock)</t>
        </is>
      </c>
    </row>
    <row r="30">
      <c r="A30" t="inlineStr">
        <is>
          <t>EHS-007</t>
        </is>
      </c>
      <c r="B30" t="inlineStr">
        <is>
          <t>Overdue EHS actions</t>
        </is>
      </c>
      <c r="C30" t="inlineStr">
        <is>
          <t>count</t>
        </is>
      </c>
      <c r="D30" t="inlineStr">
        <is>
          <t>ehs_ca_overdue</t>
        </is>
      </c>
      <c r="E30">
        <f>ROUND(AM4,2)</f>
        <v/>
      </c>
      <c r="F30" t="inlineStr">
        <is>
          <t>plant input (mock)</t>
        </is>
      </c>
    </row>
    <row r="31">
      <c r="A31" t="inlineStr">
        <is>
          <t>EHS-009</t>
        </is>
      </c>
      <c r="B31" t="inlineStr">
        <is>
          <t>EHS investigation completion</t>
        </is>
      </c>
      <c r="C31" t="inlineStr">
        <is>
          <t>%</t>
        </is>
      </c>
      <c r="D31" t="inlineStr">
        <is>
          <t>investigations_completed / investigations_due x 100 (100 if none due)</t>
        </is>
      </c>
      <c r="E31">
        <f>ROUND(IF(AN4=0,100,100*AO4/AN4),2)</f>
        <v/>
      </c>
      <c r="F31" t="inlineStr">
        <is>
          <t>plant input (mock)</t>
        </is>
      </c>
    </row>
    <row r="32">
      <c r="A32" t="inlineStr">
        <is>
          <t>REG-006</t>
        </is>
      </c>
      <c r="B32" t="inlineStr">
        <is>
          <t>Licence or permit expiry clock</t>
        </is>
      </c>
      <c r="C32" t="inlineStr">
        <is>
          <t>days</t>
        </is>
      </c>
      <c r="D32" t="inlineStr">
        <is>
          <t>permit_days_to_expiry (MIN across children)</t>
        </is>
      </c>
      <c r="E32">
        <f>ROUND(AS4,2)</f>
        <v/>
      </c>
      <c r="F32" t="inlineStr">
        <is>
          <t>plant input (mock)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2026-10-05T13:24:46Z</dcterms:created>
  <dcterms:modified xmlns:dcterms="http://purl.org/dc/terms/" xmlns:xsi="http://www.w3.org/2001/XMLSchema-instance" xsi:type="dcterms:W3CDTF">2026-10-05T13:24:46Z</dcterms:modified>
</cp:coreProperties>
</file>